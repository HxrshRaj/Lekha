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_Open" sheetId="2" state="visible" r:id="rId2"/>
    <sheet xmlns:r="http://schemas.openxmlformats.org/officeDocument/2006/relationships" name="Aging" sheetId="3" state="visible" r:id="rId3"/>
    <sheet xmlns:r="http://schemas.openxmlformats.org/officeDocument/2006/relationships" name="DSO" sheetId="4" state="visible" r:id="rId4"/>
    <sheet xmlns:r="http://schemas.openxmlformats.org/officeDocument/2006/relationships" name="Variance" sheetId="5" state="visible" r:id="rId5"/>
    <sheet xmlns:r="http://schemas.openxmlformats.org/officeDocument/2006/relationships" name="Pn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C6E0B4"/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Lekha - finance &amp; order-to-cash summary</t>
        </is>
      </c>
    </row>
    <row r="2">
      <c r="A2" s="2" t="inlineStr">
        <is>
          <t>SYNTHETIC, SAP-STYLE (simplified) data generated by Lekha. Not real SAP data; no SAP connection.</t>
        </is>
      </c>
    </row>
    <row r="3">
      <c r="A3" t="inlineStr">
        <is>
          <t>As-of date</t>
        </is>
      </c>
      <c r="B3" s="3" t="n">
        <v>46022</v>
      </c>
    </row>
    <row r="5">
      <c r="A5" t="inlineStr">
        <is>
          <t>Open receivables</t>
        </is>
      </c>
      <c r="B5" s="4">
        <f>Aging!C7</f>
        <v/>
      </c>
    </row>
    <row r="6">
      <c r="A6" t="inlineStr">
        <is>
          <t>Overdue 90+ days</t>
        </is>
      </c>
      <c r="B6" s="4">
        <f>Aging!C6</f>
        <v/>
      </c>
    </row>
    <row r="7">
      <c r="A7" t="inlineStr">
        <is>
          <t>Overdue 90+ share of open AR</t>
        </is>
      </c>
      <c r="B7" s="5">
        <f>IFERROR(Aging!C6/Aging!C7,0)</f>
        <v/>
      </c>
    </row>
    <row r="8">
      <c r="A8" t="inlineStr">
        <is>
          <t>DSO - latest month (days)</t>
        </is>
      </c>
      <c r="B8" s="6">
        <f>DSO!D37</f>
        <v/>
      </c>
    </row>
    <row r="9">
      <c r="A9" t="inlineStr">
        <is>
          <t>Total budget variance, last 12 periods</t>
        </is>
      </c>
      <c r="B9" s="4">
        <f>SUM(Variance!E2:E241)</f>
        <v/>
      </c>
    </row>
    <row r="10">
      <c r="A10" t="inlineStr">
        <is>
          <t>Revenue, last 12 periods</t>
        </is>
      </c>
      <c r="B10" s="4">
        <f>SUM(PnL!B26:B37)</f>
        <v/>
      </c>
    </row>
    <row r="11">
      <c r="A11" t="inlineStr">
        <is>
          <t>EBIT, last 12 periods</t>
        </is>
      </c>
      <c r="B11" s="4">
        <f>SUM(PnL!F26:F37)</f>
        <v/>
      </c>
    </row>
  </sheetData>
  <conditionalFormatting sqref="B7">
    <cfRule type="cellIs" priority="1" operator="greaterThan" dxfId="0">
      <formula>0.2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Invoice</t>
        </is>
      </c>
      <c r="B1" s="7" t="inlineStr">
        <is>
          <t>Customer</t>
        </is>
      </c>
      <c r="C1" s="7" t="inlineStr">
        <is>
          <t>Invoice date</t>
        </is>
      </c>
      <c r="D1" s="7" t="inlineStr">
        <is>
          <t>Due date</t>
        </is>
      </c>
      <c r="E1" s="7" t="inlineStr">
        <is>
          <t>Amount</t>
        </is>
      </c>
      <c r="F1" s="7" t="inlineStr">
        <is>
          <t>Days overdue</t>
        </is>
      </c>
      <c r="G1" s="7" t="inlineStr">
        <is>
          <t>Bucket</t>
        </is>
      </c>
    </row>
    <row r="2">
      <c r="A2" t="inlineStr">
        <is>
          <t>0009000049</t>
        </is>
      </c>
      <c r="B2" t="inlineStr">
        <is>
          <t>0000100293</t>
        </is>
      </c>
      <c r="C2" s="3" t="n">
        <v>44937</v>
      </c>
      <c r="D2" s="3" t="n">
        <v>44967</v>
      </c>
      <c r="E2" s="4" t="n">
        <v>245.56</v>
      </c>
      <c r="F2">
        <f>Summary!$B$3-D2</f>
        <v/>
      </c>
      <c r="G2">
        <f>IF(D2&gt;Summary!$B$3,"Current",IF(F2&lt;=30,"0-30",IF(F2&lt;=60,"31-60",IF(F2&lt;=90,"61-90","90+"))))</f>
        <v/>
      </c>
    </row>
    <row r="3">
      <c r="A3" t="inlineStr">
        <is>
          <t>0009000068</t>
        </is>
      </c>
      <c r="B3" t="inlineStr">
        <is>
          <t>0000100508</t>
        </is>
      </c>
      <c r="C3" s="3" t="n">
        <v>44936</v>
      </c>
      <c r="D3" s="3" t="n">
        <v>44996</v>
      </c>
      <c r="E3" s="4" t="n">
        <v>2248.49</v>
      </c>
      <c r="F3">
        <f>Summary!$B$3-D3</f>
        <v/>
      </c>
      <c r="G3">
        <f>IF(D3&gt;Summary!$B$3,"Current",IF(F3&lt;=30,"0-30",IF(F3&lt;=60,"31-60",IF(F3&lt;=90,"61-90","90+"))))</f>
        <v/>
      </c>
    </row>
    <row r="4">
      <c r="A4" t="inlineStr">
        <is>
          <t>0009000103</t>
        </is>
      </c>
      <c r="B4" t="inlineStr">
        <is>
          <t>0000100345</t>
        </is>
      </c>
      <c r="C4" s="3" t="n">
        <v>44937</v>
      </c>
      <c r="D4" s="3" t="n">
        <v>44967</v>
      </c>
      <c r="E4" s="4" t="n">
        <v>342.36</v>
      </c>
      <c r="F4">
        <f>Summary!$B$3-D4</f>
        <v/>
      </c>
      <c r="G4">
        <f>IF(D4&gt;Summary!$B$3,"Current",IF(F4&lt;=30,"0-30",IF(F4&lt;=60,"31-60",IF(F4&lt;=90,"61-90","90+"))))</f>
        <v/>
      </c>
    </row>
    <row r="5">
      <c r="A5" t="inlineStr">
        <is>
          <t>0009000108</t>
        </is>
      </c>
      <c r="B5" t="inlineStr">
        <is>
          <t>0000100001</t>
        </is>
      </c>
      <c r="C5" s="3" t="n">
        <v>44947</v>
      </c>
      <c r="D5" s="3" t="n">
        <v>44992</v>
      </c>
      <c r="E5" s="4" t="n">
        <v>825.0700000000001</v>
      </c>
      <c r="F5">
        <f>Summary!$B$3-D5</f>
        <v/>
      </c>
      <c r="G5">
        <f>IF(D5&gt;Summary!$B$3,"Current",IF(F5&lt;=30,"0-30",IF(F5&lt;=60,"31-60",IF(F5&lt;=90,"61-90","90+"))))</f>
        <v/>
      </c>
    </row>
    <row r="6">
      <c r="A6" t="inlineStr">
        <is>
          <t>0009000156</t>
        </is>
      </c>
      <c r="B6" t="inlineStr">
        <is>
          <t>0000100416</t>
        </is>
      </c>
      <c r="C6" s="3" t="n">
        <v>44943</v>
      </c>
      <c r="D6" s="3" t="n">
        <v>44988</v>
      </c>
      <c r="E6" s="4" t="n">
        <v>1108.45</v>
      </c>
      <c r="F6">
        <f>Summary!$B$3-D6</f>
        <v/>
      </c>
      <c r="G6">
        <f>IF(D6&gt;Summary!$B$3,"Current",IF(F6&lt;=30,"0-30",IF(F6&lt;=60,"31-60",IF(F6&lt;=90,"61-90","90+"))))</f>
        <v/>
      </c>
    </row>
    <row r="7">
      <c r="A7" t="inlineStr">
        <is>
          <t>0009000214</t>
        </is>
      </c>
      <c r="B7" t="inlineStr">
        <is>
          <t>0000100434</t>
        </is>
      </c>
      <c r="C7" s="3" t="n">
        <v>44943</v>
      </c>
      <c r="D7" s="3" t="n">
        <v>44973</v>
      </c>
      <c r="E7" s="4" t="n">
        <v>694.67</v>
      </c>
      <c r="F7">
        <f>Summary!$B$3-D7</f>
        <v/>
      </c>
      <c r="G7">
        <f>IF(D7&gt;Summary!$B$3,"Current",IF(F7&lt;=30,"0-30",IF(F7&lt;=60,"31-60",IF(F7&lt;=90,"61-90","90+"))))</f>
        <v/>
      </c>
    </row>
    <row r="8">
      <c r="A8" t="inlineStr">
        <is>
          <t>0009000218</t>
        </is>
      </c>
      <c r="B8" t="inlineStr">
        <is>
          <t>0000100128</t>
        </is>
      </c>
      <c r="C8" s="3" t="n">
        <v>44943</v>
      </c>
      <c r="D8" s="3" t="n">
        <v>44973</v>
      </c>
      <c r="E8" s="4" t="n">
        <v>1738.5</v>
      </c>
      <c r="F8">
        <f>Summary!$B$3-D8</f>
        <v/>
      </c>
      <c r="G8">
        <f>IF(D8&gt;Summary!$B$3,"Current",IF(F8&lt;=30,"0-30",IF(F8&lt;=60,"31-60",IF(F8&lt;=90,"61-90","90+"))))</f>
        <v/>
      </c>
    </row>
    <row r="9">
      <c r="A9" t="inlineStr">
        <is>
          <t>0009000359</t>
        </is>
      </c>
      <c r="B9" t="inlineStr">
        <is>
          <t>0000100106</t>
        </is>
      </c>
      <c r="C9" s="3" t="n">
        <v>44950</v>
      </c>
      <c r="D9" s="3" t="n">
        <v>44995</v>
      </c>
      <c r="E9" s="4" t="n">
        <v>1493.65</v>
      </c>
      <c r="F9">
        <f>Summary!$B$3-D9</f>
        <v/>
      </c>
      <c r="G9">
        <f>IF(D9&gt;Summary!$B$3,"Current",IF(F9&lt;=30,"0-30",IF(F9&lt;=60,"31-60",IF(F9&lt;=90,"61-90","90+"))))</f>
        <v/>
      </c>
    </row>
    <row r="10">
      <c r="A10" t="inlineStr">
        <is>
          <t>0009000408</t>
        </is>
      </c>
      <c r="B10" t="inlineStr">
        <is>
          <t>0000100196</t>
        </is>
      </c>
      <c r="C10" s="3" t="n">
        <v>44951</v>
      </c>
      <c r="D10" s="3" t="n">
        <v>44981</v>
      </c>
      <c r="E10" s="4" t="n">
        <v>252.84</v>
      </c>
      <c r="F10">
        <f>Summary!$B$3-D10</f>
        <v/>
      </c>
      <c r="G10">
        <f>IF(D10&gt;Summary!$B$3,"Current",IF(F10&lt;=30,"0-30",IF(F10&lt;=60,"31-60",IF(F10&lt;=90,"61-90","90+"))))</f>
        <v/>
      </c>
    </row>
    <row r="11">
      <c r="A11" t="inlineStr">
        <is>
          <t>0009000508</t>
        </is>
      </c>
      <c r="B11" t="inlineStr">
        <is>
          <t>0000100095</t>
        </is>
      </c>
      <c r="C11" s="3" t="n">
        <v>44960</v>
      </c>
      <c r="D11" s="3" t="n">
        <v>45005</v>
      </c>
      <c r="E11" s="4" t="n">
        <v>1639.64</v>
      </c>
      <c r="F11">
        <f>Summary!$B$3-D11</f>
        <v/>
      </c>
      <c r="G11">
        <f>IF(D11&gt;Summary!$B$3,"Current",IF(F11&lt;=30,"0-30",IF(F11&lt;=60,"31-60",IF(F11&lt;=90,"61-90","90+"))))</f>
        <v/>
      </c>
    </row>
    <row r="12">
      <c r="A12" t="inlineStr">
        <is>
          <t>0009000536</t>
        </is>
      </c>
      <c r="B12" t="inlineStr">
        <is>
          <t>0000100219</t>
        </is>
      </c>
      <c r="C12" s="3" t="n">
        <v>44960</v>
      </c>
      <c r="D12" s="3" t="n">
        <v>44990</v>
      </c>
      <c r="E12" s="4" t="n">
        <v>473.16</v>
      </c>
      <c r="F12">
        <f>Summary!$B$3-D12</f>
        <v/>
      </c>
      <c r="G12">
        <f>IF(D12&gt;Summary!$B$3,"Current",IF(F12&lt;=30,"0-30",IF(F12&lt;=60,"31-60",IF(F12&lt;=90,"61-90","90+"))))</f>
        <v/>
      </c>
    </row>
    <row r="13">
      <c r="A13" t="inlineStr">
        <is>
          <t>0009000589</t>
        </is>
      </c>
      <c r="B13" t="inlineStr">
        <is>
          <t>0000100051</t>
        </is>
      </c>
      <c r="C13" s="3" t="n">
        <v>44964</v>
      </c>
      <c r="D13" s="3" t="n">
        <v>45024</v>
      </c>
      <c r="E13" s="4" t="n">
        <v>465.44</v>
      </c>
      <c r="F13">
        <f>Summary!$B$3-D13</f>
        <v/>
      </c>
      <c r="G13">
        <f>IF(D13&gt;Summary!$B$3,"Current",IF(F13&lt;=30,"0-30",IF(F13&lt;=60,"31-60",IF(F13&lt;=90,"61-90","90+"))))</f>
        <v/>
      </c>
    </row>
    <row r="14">
      <c r="A14" t="inlineStr">
        <is>
          <t>0009000633</t>
        </is>
      </c>
      <c r="B14" t="inlineStr">
        <is>
          <t>0000100576</t>
        </is>
      </c>
      <c r="C14" s="3" t="n">
        <v>44967</v>
      </c>
      <c r="D14" s="3" t="n">
        <v>44997</v>
      </c>
      <c r="E14" s="4" t="n">
        <v>3379.77</v>
      </c>
      <c r="F14">
        <f>Summary!$B$3-D14</f>
        <v/>
      </c>
      <c r="G14">
        <f>IF(D14&gt;Summary!$B$3,"Current",IF(F14&lt;=30,"0-30",IF(F14&lt;=60,"31-60",IF(F14&lt;=90,"61-90","90+"))))</f>
        <v/>
      </c>
    </row>
    <row r="15">
      <c r="A15" t="inlineStr">
        <is>
          <t>0009000681</t>
        </is>
      </c>
      <c r="B15" t="inlineStr">
        <is>
          <t>0000100097</t>
        </is>
      </c>
      <c r="C15" s="3" t="n">
        <v>44966</v>
      </c>
      <c r="D15" s="3" t="n">
        <v>45011</v>
      </c>
      <c r="E15" s="4" t="n">
        <v>1126.83</v>
      </c>
      <c r="F15">
        <f>Summary!$B$3-D15</f>
        <v/>
      </c>
      <c r="G15">
        <f>IF(D15&gt;Summary!$B$3,"Current",IF(F15&lt;=30,"0-30",IF(F15&lt;=60,"31-60",IF(F15&lt;=90,"61-90","90+"))))</f>
        <v/>
      </c>
    </row>
    <row r="16">
      <c r="A16" t="inlineStr">
        <is>
          <t>0009000778</t>
        </is>
      </c>
      <c r="B16" t="inlineStr">
        <is>
          <t>0000100116</t>
        </is>
      </c>
      <c r="C16" s="3" t="n">
        <v>44972</v>
      </c>
      <c r="D16" s="3" t="n">
        <v>45017</v>
      </c>
      <c r="E16" s="4" t="n">
        <v>229.79</v>
      </c>
      <c r="F16">
        <f>Summary!$B$3-D16</f>
        <v/>
      </c>
      <c r="G16">
        <f>IF(D16&gt;Summary!$B$3,"Current",IF(F16&lt;=30,"0-30",IF(F16&lt;=60,"31-60",IF(F16&lt;=90,"61-90","90+"))))</f>
        <v/>
      </c>
    </row>
    <row r="17">
      <c r="A17" t="inlineStr">
        <is>
          <t>0009000780</t>
        </is>
      </c>
      <c r="B17" t="inlineStr">
        <is>
          <t>0000100339</t>
        </is>
      </c>
      <c r="C17" s="3" t="n">
        <v>44975</v>
      </c>
      <c r="D17" s="3" t="n">
        <v>45005</v>
      </c>
      <c r="E17" s="4" t="n">
        <v>1128.71</v>
      </c>
      <c r="F17">
        <f>Summary!$B$3-D17</f>
        <v/>
      </c>
      <c r="G17">
        <f>IF(D17&gt;Summary!$B$3,"Current",IF(F17&lt;=30,"0-30",IF(F17&lt;=60,"31-60",IF(F17&lt;=90,"61-90","90+"))))</f>
        <v/>
      </c>
    </row>
    <row r="18">
      <c r="A18" t="inlineStr">
        <is>
          <t>0009000828</t>
        </is>
      </c>
      <c r="B18" t="inlineStr">
        <is>
          <t>0000100338</t>
        </is>
      </c>
      <c r="C18" s="3" t="n">
        <v>44974</v>
      </c>
      <c r="D18" s="3" t="n">
        <v>45034</v>
      </c>
      <c r="E18" s="4" t="n">
        <v>184.62</v>
      </c>
      <c r="F18">
        <f>Summary!$B$3-D18</f>
        <v/>
      </c>
      <c r="G18">
        <f>IF(D18&gt;Summary!$B$3,"Current",IF(F18&lt;=30,"0-30",IF(F18&lt;=60,"31-60",IF(F18&lt;=90,"61-90","90+"))))</f>
        <v/>
      </c>
    </row>
    <row r="19">
      <c r="A19" t="inlineStr">
        <is>
          <t>0009000834</t>
        </is>
      </c>
      <c r="B19" t="inlineStr">
        <is>
          <t>0000100346</t>
        </is>
      </c>
      <c r="C19" s="3" t="n">
        <v>44973</v>
      </c>
      <c r="D19" s="3" t="n">
        <v>45018</v>
      </c>
      <c r="E19" s="4" t="n">
        <v>7156.48</v>
      </c>
      <c r="F19">
        <f>Summary!$B$3-D19</f>
        <v/>
      </c>
      <c r="G19">
        <f>IF(D19&gt;Summary!$B$3,"Current",IF(F19&lt;=30,"0-30",IF(F19&lt;=60,"31-60",IF(F19&lt;=90,"61-90","90+"))))</f>
        <v/>
      </c>
    </row>
    <row r="20">
      <c r="A20" t="inlineStr">
        <is>
          <t>0009000886</t>
        </is>
      </c>
      <c r="B20" t="inlineStr">
        <is>
          <t>0000100593</t>
        </is>
      </c>
      <c r="C20" s="3" t="n">
        <v>44978</v>
      </c>
      <c r="D20" s="3" t="n">
        <v>45038</v>
      </c>
      <c r="E20" s="4" t="n">
        <v>2093.88</v>
      </c>
      <c r="F20">
        <f>Summary!$B$3-D20</f>
        <v/>
      </c>
      <c r="G20">
        <f>IF(D20&gt;Summary!$B$3,"Current",IF(F20&lt;=30,"0-30",IF(F20&lt;=60,"31-60",IF(F20&lt;=90,"61-90","90+"))))</f>
        <v/>
      </c>
    </row>
    <row r="21">
      <c r="A21" t="inlineStr">
        <is>
          <t>0009000900</t>
        </is>
      </c>
      <c r="B21" t="inlineStr">
        <is>
          <t>0000100417</t>
        </is>
      </c>
      <c r="C21" s="3" t="n">
        <v>44975</v>
      </c>
      <c r="D21" s="3" t="n">
        <v>45035</v>
      </c>
      <c r="E21" s="4" t="n">
        <v>1506.51</v>
      </c>
      <c r="F21">
        <f>Summary!$B$3-D21</f>
        <v/>
      </c>
      <c r="G21">
        <f>IF(D21&gt;Summary!$B$3,"Current",IF(F21&lt;=30,"0-30",IF(F21&lt;=60,"31-60",IF(F21&lt;=90,"61-90","90+"))))</f>
        <v/>
      </c>
    </row>
    <row r="22">
      <c r="A22" t="inlineStr">
        <is>
          <t>0009000956</t>
        </is>
      </c>
      <c r="B22" t="inlineStr">
        <is>
          <t>0000100116</t>
        </is>
      </c>
      <c r="C22" s="3" t="n">
        <v>44980</v>
      </c>
      <c r="D22" s="3" t="n">
        <v>45025</v>
      </c>
      <c r="E22" s="4" t="n">
        <v>1312.29</v>
      </c>
      <c r="F22">
        <f>Summary!$B$3-D22</f>
        <v/>
      </c>
      <c r="G22">
        <f>IF(D22&gt;Summary!$B$3,"Current",IF(F22&lt;=30,"0-30",IF(F22&lt;=60,"31-60",IF(F22&lt;=90,"61-90","90+"))))</f>
        <v/>
      </c>
    </row>
    <row r="23">
      <c r="A23" t="inlineStr">
        <is>
          <t>0009000958</t>
        </is>
      </c>
      <c r="B23" t="inlineStr">
        <is>
          <t>0000100253</t>
        </is>
      </c>
      <c r="C23" s="3" t="n">
        <v>44984</v>
      </c>
      <c r="D23" s="3" t="n">
        <v>45044</v>
      </c>
      <c r="E23" s="4" t="n">
        <v>2225.68</v>
      </c>
      <c r="F23">
        <f>Summary!$B$3-D23</f>
        <v/>
      </c>
      <c r="G23">
        <f>IF(D23&gt;Summary!$B$3,"Current",IF(F23&lt;=30,"0-30",IF(F23&lt;=60,"31-60",IF(F23&lt;=90,"61-90","90+"))))</f>
        <v/>
      </c>
    </row>
    <row r="24">
      <c r="A24" t="inlineStr">
        <is>
          <t>0009000983</t>
        </is>
      </c>
      <c r="B24" t="inlineStr">
        <is>
          <t>0000100260</t>
        </is>
      </c>
      <c r="C24" s="3" t="n">
        <v>44978</v>
      </c>
      <c r="D24" s="3" t="n">
        <v>45023</v>
      </c>
      <c r="E24" s="4" t="n">
        <v>211.51</v>
      </c>
      <c r="F24">
        <f>Summary!$B$3-D24</f>
        <v/>
      </c>
      <c r="G24">
        <f>IF(D24&gt;Summary!$B$3,"Current",IF(F24&lt;=30,"0-30",IF(F24&lt;=60,"31-60",IF(F24&lt;=90,"61-90","90+"))))</f>
        <v/>
      </c>
    </row>
    <row r="25">
      <c r="A25" t="inlineStr">
        <is>
          <t>0009001159</t>
        </is>
      </c>
      <c r="B25" t="inlineStr">
        <is>
          <t>0000100125</t>
        </is>
      </c>
      <c r="C25" s="3" t="n">
        <v>44987</v>
      </c>
      <c r="D25" s="3" t="n">
        <v>45017</v>
      </c>
      <c r="E25" s="4" t="n">
        <v>346.94</v>
      </c>
      <c r="F25">
        <f>Summary!$B$3-D25</f>
        <v/>
      </c>
      <c r="G25">
        <f>IF(D25&gt;Summary!$B$3,"Current",IF(F25&lt;=30,"0-30",IF(F25&lt;=60,"31-60",IF(F25&lt;=90,"61-90","90+"))))</f>
        <v/>
      </c>
    </row>
    <row r="26">
      <c r="A26" t="inlineStr">
        <is>
          <t>0009001176</t>
        </is>
      </c>
      <c r="B26" t="inlineStr">
        <is>
          <t>0000100444</t>
        </is>
      </c>
      <c r="C26" s="3" t="n">
        <v>44988</v>
      </c>
      <c r="D26" s="3" t="n">
        <v>45018</v>
      </c>
      <c r="E26" s="4" t="n">
        <v>13315.16</v>
      </c>
      <c r="F26">
        <f>Summary!$B$3-D26</f>
        <v/>
      </c>
      <c r="G26">
        <f>IF(D26&gt;Summary!$B$3,"Current",IF(F26&lt;=30,"0-30",IF(F26&lt;=60,"31-60",IF(F26&lt;=90,"61-90","90+"))))</f>
        <v/>
      </c>
    </row>
    <row r="27">
      <c r="A27" t="inlineStr">
        <is>
          <t>0009001217</t>
        </is>
      </c>
      <c r="B27" t="inlineStr">
        <is>
          <t>0000100164</t>
        </is>
      </c>
      <c r="C27" s="3" t="n">
        <v>44996</v>
      </c>
      <c r="D27" s="3" t="n">
        <v>45056</v>
      </c>
      <c r="E27" s="4" t="n">
        <v>835.99</v>
      </c>
      <c r="F27">
        <f>Summary!$B$3-D27</f>
        <v/>
      </c>
      <c r="G27">
        <f>IF(D27&gt;Summary!$B$3,"Current",IF(F27&lt;=30,"0-30",IF(F27&lt;=60,"31-60",IF(F27&lt;=90,"61-90","90+"))))</f>
        <v/>
      </c>
    </row>
    <row r="28">
      <c r="A28" t="inlineStr">
        <is>
          <t>0009001314</t>
        </is>
      </c>
      <c r="B28" t="inlineStr">
        <is>
          <t>0000100169</t>
        </is>
      </c>
      <c r="C28" s="3" t="n">
        <v>44997</v>
      </c>
      <c r="D28" s="3" t="n">
        <v>45042</v>
      </c>
      <c r="E28" s="4" t="n">
        <v>3063.83</v>
      </c>
      <c r="F28">
        <f>Summary!$B$3-D28</f>
        <v/>
      </c>
      <c r="G28">
        <f>IF(D28&gt;Summary!$B$3,"Current",IF(F28&lt;=30,"0-30",IF(F28&lt;=60,"31-60",IF(F28&lt;=90,"61-90","90+"))))</f>
        <v/>
      </c>
    </row>
    <row r="29">
      <c r="A29" t="inlineStr">
        <is>
          <t>0009001347</t>
        </is>
      </c>
      <c r="B29" t="inlineStr">
        <is>
          <t>0000100125</t>
        </is>
      </c>
      <c r="C29" s="3" t="n">
        <v>44995</v>
      </c>
      <c r="D29" s="3" t="n">
        <v>45025</v>
      </c>
      <c r="E29" s="4" t="n">
        <v>3639.2</v>
      </c>
      <c r="F29">
        <f>Summary!$B$3-D29</f>
        <v/>
      </c>
      <c r="G29">
        <f>IF(D29&gt;Summary!$B$3,"Current",IF(F29&lt;=30,"0-30",IF(F29&lt;=60,"31-60",IF(F29&lt;=90,"61-90","90+"))))</f>
        <v/>
      </c>
    </row>
    <row r="30">
      <c r="A30" t="inlineStr">
        <is>
          <t>0009001356</t>
        </is>
      </c>
      <c r="B30" t="inlineStr">
        <is>
          <t>0000100576</t>
        </is>
      </c>
      <c r="C30" s="3" t="n">
        <v>44993</v>
      </c>
      <c r="D30" s="3" t="n">
        <v>45023</v>
      </c>
      <c r="E30" s="4" t="n">
        <v>1047.14</v>
      </c>
      <c r="F30">
        <f>Summary!$B$3-D30</f>
        <v/>
      </c>
      <c r="G30">
        <f>IF(D30&gt;Summary!$B$3,"Current",IF(F30&lt;=30,"0-30",IF(F30&lt;=60,"31-60",IF(F30&lt;=90,"61-90","90+"))))</f>
        <v/>
      </c>
    </row>
    <row r="31">
      <c r="A31" t="inlineStr">
        <is>
          <t>0009001370</t>
        </is>
      </c>
      <c r="B31" t="inlineStr">
        <is>
          <t>0000100056</t>
        </is>
      </c>
      <c r="C31" s="3" t="n">
        <v>44997</v>
      </c>
      <c r="D31" s="3" t="n">
        <v>45057</v>
      </c>
      <c r="E31" s="4" t="n">
        <v>261.21</v>
      </c>
      <c r="F31">
        <f>Summary!$B$3-D31</f>
        <v/>
      </c>
      <c r="G31">
        <f>IF(D31&gt;Summary!$B$3,"Current",IF(F31&lt;=30,"0-30",IF(F31&lt;=60,"31-60",IF(F31&lt;=90,"61-90","90+"))))</f>
        <v/>
      </c>
    </row>
    <row r="32">
      <c r="A32" t="inlineStr">
        <is>
          <t>0009001376</t>
        </is>
      </c>
      <c r="B32" t="inlineStr">
        <is>
          <t>0000100581</t>
        </is>
      </c>
      <c r="C32" s="3" t="n">
        <v>44996</v>
      </c>
      <c r="D32" s="3" t="n">
        <v>45026</v>
      </c>
      <c r="E32" s="4" t="n">
        <v>799.64</v>
      </c>
      <c r="F32">
        <f>Summary!$B$3-D32</f>
        <v/>
      </c>
      <c r="G32">
        <f>IF(D32&gt;Summary!$B$3,"Current",IF(F32&lt;=30,"0-30",IF(F32&lt;=60,"31-60",IF(F32&lt;=90,"61-90","90+"))))</f>
        <v/>
      </c>
    </row>
    <row r="33">
      <c r="A33" t="inlineStr">
        <is>
          <t>0009001384</t>
        </is>
      </c>
      <c r="B33" t="inlineStr">
        <is>
          <t>0000100051</t>
        </is>
      </c>
      <c r="C33" s="3" t="n">
        <v>44993</v>
      </c>
      <c r="D33" s="3" t="n">
        <v>45053</v>
      </c>
      <c r="E33" s="4" t="n">
        <v>119.58</v>
      </c>
      <c r="F33">
        <f>Summary!$B$3-D33</f>
        <v/>
      </c>
      <c r="G33">
        <f>IF(D33&gt;Summary!$B$3,"Current",IF(F33&lt;=30,"0-30",IF(F33&lt;=60,"31-60",IF(F33&lt;=90,"61-90","90+"))))</f>
        <v/>
      </c>
    </row>
    <row r="34">
      <c r="A34" t="inlineStr">
        <is>
          <t>0009001388</t>
        </is>
      </c>
      <c r="B34" t="inlineStr">
        <is>
          <t>0000100000</t>
        </is>
      </c>
      <c r="C34" s="3" t="n">
        <v>45000</v>
      </c>
      <c r="D34" s="3" t="n">
        <v>45030</v>
      </c>
      <c r="E34" s="4" t="n">
        <v>694.2</v>
      </c>
      <c r="F34">
        <f>Summary!$B$3-D34</f>
        <v/>
      </c>
      <c r="G34">
        <f>IF(D34&gt;Summary!$B$3,"Current",IF(F34&lt;=30,"0-30",IF(F34&lt;=60,"31-60",IF(F34&lt;=90,"61-90","90+"))))</f>
        <v/>
      </c>
    </row>
    <row r="35">
      <c r="A35" t="inlineStr">
        <is>
          <t>0009001402</t>
        </is>
      </c>
      <c r="B35" t="inlineStr">
        <is>
          <t>0000100004</t>
        </is>
      </c>
      <c r="C35" s="3" t="n">
        <v>44996</v>
      </c>
      <c r="D35" s="3" t="n">
        <v>45056</v>
      </c>
      <c r="E35" s="4" t="n">
        <v>1734.58</v>
      </c>
      <c r="F35">
        <f>Summary!$B$3-D35</f>
        <v/>
      </c>
      <c r="G35">
        <f>IF(D35&gt;Summary!$B$3,"Current",IF(F35&lt;=30,"0-30",IF(F35&lt;=60,"31-60",IF(F35&lt;=90,"61-90","90+"))))</f>
        <v/>
      </c>
    </row>
    <row r="36">
      <c r="A36" t="inlineStr">
        <is>
          <t>0009001422</t>
        </is>
      </c>
      <c r="B36" t="inlineStr">
        <is>
          <t>0000100564</t>
        </is>
      </c>
      <c r="C36" s="3" t="n">
        <v>44998</v>
      </c>
      <c r="D36" s="3" t="n">
        <v>45028</v>
      </c>
      <c r="E36" s="4" t="n">
        <v>431.73</v>
      </c>
      <c r="F36">
        <f>Summary!$B$3-D36</f>
        <v/>
      </c>
      <c r="G36">
        <f>IF(D36&gt;Summary!$B$3,"Current",IF(F36&lt;=30,"0-30",IF(F36&lt;=60,"31-60",IF(F36&lt;=90,"61-90","90+"))))</f>
        <v/>
      </c>
    </row>
    <row r="37">
      <c r="A37" t="inlineStr">
        <is>
          <t>0009001425</t>
        </is>
      </c>
      <c r="B37" t="inlineStr">
        <is>
          <t>0000100465</t>
        </is>
      </c>
      <c r="C37" s="3" t="n">
        <v>44996</v>
      </c>
      <c r="D37" s="3" t="n">
        <v>45056</v>
      </c>
      <c r="E37" s="4" t="n">
        <v>973.41</v>
      </c>
      <c r="F37">
        <f>Summary!$B$3-D37</f>
        <v/>
      </c>
      <c r="G37">
        <f>IF(D37&gt;Summary!$B$3,"Current",IF(F37&lt;=30,"0-30",IF(F37&lt;=60,"31-60",IF(F37&lt;=90,"61-90","90+"))))</f>
        <v/>
      </c>
    </row>
    <row r="38">
      <c r="A38" t="inlineStr">
        <is>
          <t>0009001554</t>
        </is>
      </c>
      <c r="B38" t="inlineStr">
        <is>
          <t>0000100377</t>
        </is>
      </c>
      <c r="C38" s="3" t="n">
        <v>45008</v>
      </c>
      <c r="D38" s="3" t="n">
        <v>45038</v>
      </c>
      <c r="E38" s="4" t="n">
        <v>517.0700000000001</v>
      </c>
      <c r="F38">
        <f>Summary!$B$3-D38</f>
        <v/>
      </c>
      <c r="G38">
        <f>IF(D38&gt;Summary!$B$3,"Current",IF(F38&lt;=30,"0-30",IF(F38&lt;=60,"31-60",IF(F38&lt;=90,"61-90","90+"))))</f>
        <v/>
      </c>
    </row>
    <row r="39">
      <c r="A39" t="inlineStr">
        <is>
          <t>0009001574</t>
        </is>
      </c>
      <c r="B39" t="inlineStr">
        <is>
          <t>0000100417</t>
        </is>
      </c>
      <c r="C39" s="3" t="n">
        <v>45005</v>
      </c>
      <c r="D39" s="3" t="n">
        <v>45065</v>
      </c>
      <c r="E39" s="4" t="n">
        <v>2385.96</v>
      </c>
      <c r="F39">
        <f>Summary!$B$3-D39</f>
        <v/>
      </c>
      <c r="G39">
        <f>IF(D39&gt;Summary!$B$3,"Current",IF(F39&lt;=30,"0-30",IF(F39&lt;=60,"31-60",IF(F39&lt;=90,"61-90","90+"))))</f>
        <v/>
      </c>
    </row>
    <row r="40">
      <c r="A40" t="inlineStr">
        <is>
          <t>0009001603</t>
        </is>
      </c>
      <c r="B40" t="inlineStr">
        <is>
          <t>0000100013</t>
        </is>
      </c>
      <c r="C40" s="3" t="n">
        <v>45006</v>
      </c>
      <c r="D40" s="3" t="n">
        <v>45066</v>
      </c>
      <c r="E40" s="4" t="n">
        <v>1158.41</v>
      </c>
      <c r="F40">
        <f>Summary!$B$3-D40</f>
        <v/>
      </c>
      <c r="G40">
        <f>IF(D40&gt;Summary!$B$3,"Current",IF(F40&lt;=30,"0-30",IF(F40&lt;=60,"31-60",IF(F40&lt;=90,"61-90","90+"))))</f>
        <v/>
      </c>
    </row>
    <row r="41">
      <c r="A41" t="inlineStr">
        <is>
          <t>0009001632</t>
        </is>
      </c>
      <c r="B41" t="inlineStr">
        <is>
          <t>0000100018</t>
        </is>
      </c>
      <c r="C41" s="3" t="n">
        <v>45009</v>
      </c>
      <c r="D41" s="3" t="n">
        <v>45039</v>
      </c>
      <c r="E41" s="4" t="n">
        <v>6437.86</v>
      </c>
      <c r="F41">
        <f>Summary!$B$3-D41</f>
        <v/>
      </c>
      <c r="G41">
        <f>IF(D41&gt;Summary!$B$3,"Current",IF(F41&lt;=30,"0-30",IF(F41&lt;=60,"31-60",IF(F41&lt;=90,"61-90","90+"))))</f>
        <v/>
      </c>
    </row>
    <row r="42">
      <c r="A42" t="inlineStr">
        <is>
          <t>0009001638</t>
        </is>
      </c>
      <c r="B42" t="inlineStr">
        <is>
          <t>0000100565</t>
        </is>
      </c>
      <c r="C42" s="3" t="n">
        <v>45009</v>
      </c>
      <c r="D42" s="3" t="n">
        <v>45069</v>
      </c>
      <c r="E42" s="4" t="n">
        <v>29.52</v>
      </c>
      <c r="F42">
        <f>Summary!$B$3-D42</f>
        <v/>
      </c>
      <c r="G42">
        <f>IF(D42&gt;Summary!$B$3,"Current",IF(F42&lt;=30,"0-30",IF(F42&lt;=60,"31-60",IF(F42&lt;=90,"61-90","90+"))))</f>
        <v/>
      </c>
    </row>
    <row r="43">
      <c r="A43" t="inlineStr">
        <is>
          <t>0009001668</t>
        </is>
      </c>
      <c r="B43" t="inlineStr">
        <is>
          <t>0000100052</t>
        </is>
      </c>
      <c r="C43" s="3" t="n">
        <v>45005</v>
      </c>
      <c r="D43" s="3" t="n">
        <v>45050</v>
      </c>
      <c r="E43" s="4" t="n">
        <v>500.39</v>
      </c>
      <c r="F43">
        <f>Summary!$B$3-D43</f>
        <v/>
      </c>
      <c r="G43">
        <f>IF(D43&gt;Summary!$B$3,"Current",IF(F43&lt;=30,"0-30",IF(F43&lt;=60,"31-60",IF(F43&lt;=90,"61-90","90+"))))</f>
        <v/>
      </c>
    </row>
    <row r="44">
      <c r="A44" t="inlineStr">
        <is>
          <t>0009001710</t>
        </is>
      </c>
      <c r="B44" t="inlineStr">
        <is>
          <t>0000100453</t>
        </is>
      </c>
      <c r="C44" s="3" t="n">
        <v>45016</v>
      </c>
      <c r="D44" s="3" t="n">
        <v>45046</v>
      </c>
      <c r="E44" s="4" t="n">
        <v>3712.13</v>
      </c>
      <c r="F44">
        <f>Summary!$B$3-D44</f>
        <v/>
      </c>
      <c r="G44">
        <f>IF(D44&gt;Summary!$B$3,"Current",IF(F44&lt;=30,"0-30",IF(F44&lt;=60,"31-60",IF(F44&lt;=90,"61-90","90+"))))</f>
        <v/>
      </c>
    </row>
    <row r="45">
      <c r="A45" t="inlineStr">
        <is>
          <t>0009001747</t>
        </is>
      </c>
      <c r="B45" t="inlineStr">
        <is>
          <t>0000100465</t>
        </is>
      </c>
      <c r="C45" s="3" t="n">
        <v>45014</v>
      </c>
      <c r="D45" s="3" t="n">
        <v>45074</v>
      </c>
      <c r="E45" s="4" t="n">
        <v>1137.66</v>
      </c>
      <c r="F45">
        <f>Summary!$B$3-D45</f>
        <v/>
      </c>
      <c r="G45">
        <f>IF(D45&gt;Summary!$B$3,"Current",IF(F45&lt;=30,"0-30",IF(F45&lt;=60,"31-60",IF(F45&lt;=90,"61-90","90+"))))</f>
        <v/>
      </c>
    </row>
    <row r="46">
      <c r="A46" t="inlineStr">
        <is>
          <t>0009001780</t>
        </is>
      </c>
      <c r="B46" t="inlineStr">
        <is>
          <t>0000100412</t>
        </is>
      </c>
      <c r="C46" s="3" t="n">
        <v>45016</v>
      </c>
      <c r="D46" s="3" t="n">
        <v>45046</v>
      </c>
      <c r="E46" s="4" t="n">
        <v>723.16</v>
      </c>
      <c r="F46">
        <f>Summary!$B$3-D46</f>
        <v/>
      </c>
      <c r="G46">
        <f>IF(D46&gt;Summary!$B$3,"Current",IF(F46&lt;=30,"0-30",IF(F46&lt;=60,"31-60",IF(F46&lt;=90,"61-90","90+"))))</f>
        <v/>
      </c>
    </row>
    <row r="47">
      <c r="A47" t="inlineStr">
        <is>
          <t>0009001868</t>
        </is>
      </c>
      <c r="B47" t="inlineStr">
        <is>
          <t>0000100002</t>
        </is>
      </c>
      <c r="C47" s="3" t="n">
        <v>45021</v>
      </c>
      <c r="D47" s="3" t="n">
        <v>45081</v>
      </c>
      <c r="E47" s="4" t="n">
        <v>3930.51</v>
      </c>
      <c r="F47">
        <f>Summary!$B$3-D47</f>
        <v/>
      </c>
      <c r="G47">
        <f>IF(D47&gt;Summary!$B$3,"Current",IF(F47&lt;=30,"0-30",IF(F47&lt;=60,"31-60",IF(F47&lt;=90,"61-90","90+"))))</f>
        <v/>
      </c>
    </row>
    <row r="48">
      <c r="A48" t="inlineStr">
        <is>
          <t>0009001890</t>
        </is>
      </c>
      <c r="B48" t="inlineStr">
        <is>
          <t>0000100206</t>
        </is>
      </c>
      <c r="C48" s="3" t="n">
        <v>45021</v>
      </c>
      <c r="D48" s="3" t="n">
        <v>45066</v>
      </c>
      <c r="E48" s="4" t="n">
        <v>90.18000000000001</v>
      </c>
      <c r="F48">
        <f>Summary!$B$3-D48</f>
        <v/>
      </c>
      <c r="G48">
        <f>IF(D48&gt;Summary!$B$3,"Current",IF(F48&lt;=30,"0-30",IF(F48&lt;=60,"31-60",IF(F48&lt;=90,"61-90","90+"))))</f>
        <v/>
      </c>
    </row>
    <row r="49">
      <c r="A49" t="inlineStr">
        <is>
          <t>0009001904</t>
        </is>
      </c>
      <c r="B49" t="inlineStr">
        <is>
          <t>0000100465</t>
        </is>
      </c>
      <c r="C49" s="3" t="n">
        <v>45020</v>
      </c>
      <c r="D49" s="3" t="n">
        <v>45080</v>
      </c>
      <c r="E49" s="4" t="n">
        <v>857.14</v>
      </c>
      <c r="F49">
        <f>Summary!$B$3-D49</f>
        <v/>
      </c>
      <c r="G49">
        <f>IF(D49&gt;Summary!$B$3,"Current",IF(F49&lt;=30,"0-30",IF(F49&lt;=60,"31-60",IF(F49&lt;=90,"61-90","90+"))))</f>
        <v/>
      </c>
    </row>
    <row r="50">
      <c r="A50" t="inlineStr">
        <is>
          <t>0009001909</t>
        </is>
      </c>
      <c r="B50" t="inlineStr">
        <is>
          <t>0000100227</t>
        </is>
      </c>
      <c r="C50" s="3" t="n">
        <v>45020</v>
      </c>
      <c r="D50" s="3" t="n">
        <v>45050</v>
      </c>
      <c r="E50" s="4" t="n">
        <v>2106.61</v>
      </c>
      <c r="F50">
        <f>Summary!$B$3-D50</f>
        <v/>
      </c>
      <c r="G50">
        <f>IF(D50&gt;Summary!$B$3,"Current",IF(F50&lt;=30,"0-30",IF(F50&lt;=60,"31-60",IF(F50&lt;=90,"61-90","90+"))))</f>
        <v/>
      </c>
    </row>
    <row r="51">
      <c r="A51" t="inlineStr">
        <is>
          <t>0009001915</t>
        </is>
      </c>
      <c r="B51" t="inlineStr">
        <is>
          <t>0000100240</t>
        </is>
      </c>
      <c r="C51" s="3" t="n">
        <v>45020</v>
      </c>
      <c r="D51" s="3" t="n">
        <v>45050</v>
      </c>
      <c r="E51" s="4" t="n">
        <v>505.83</v>
      </c>
      <c r="F51">
        <f>Summary!$B$3-D51</f>
        <v/>
      </c>
      <c r="G51">
        <f>IF(D51&gt;Summary!$B$3,"Current",IF(F51&lt;=30,"0-30",IF(F51&lt;=60,"31-60",IF(F51&lt;=90,"61-90","90+"))))</f>
        <v/>
      </c>
    </row>
    <row r="52">
      <c r="A52" t="inlineStr">
        <is>
          <t>0009001923</t>
        </is>
      </c>
      <c r="B52" t="inlineStr">
        <is>
          <t>0000100002</t>
        </is>
      </c>
      <c r="C52" s="3" t="n">
        <v>45021</v>
      </c>
      <c r="D52" s="3" t="n">
        <v>45081</v>
      </c>
      <c r="E52" s="4" t="n">
        <v>1040.12</v>
      </c>
      <c r="F52">
        <f>Summary!$B$3-D52</f>
        <v/>
      </c>
      <c r="G52">
        <f>IF(D52&gt;Summary!$B$3,"Current",IF(F52&lt;=30,"0-30",IF(F52&lt;=60,"31-60",IF(F52&lt;=90,"61-90","90+"))))</f>
        <v/>
      </c>
    </row>
    <row r="53">
      <c r="A53" t="inlineStr">
        <is>
          <t>0009001968</t>
        </is>
      </c>
      <c r="B53" t="inlineStr">
        <is>
          <t>0000100187</t>
        </is>
      </c>
      <c r="C53" s="3" t="n">
        <v>45024</v>
      </c>
      <c r="D53" s="3" t="n">
        <v>45054</v>
      </c>
      <c r="E53" s="4" t="n">
        <v>215.47</v>
      </c>
      <c r="F53">
        <f>Summary!$B$3-D53</f>
        <v/>
      </c>
      <c r="G53">
        <f>IF(D53&gt;Summary!$B$3,"Current",IF(F53&lt;=30,"0-30",IF(F53&lt;=60,"31-60",IF(F53&lt;=90,"61-90","90+"))))</f>
        <v/>
      </c>
    </row>
    <row r="54">
      <c r="A54" t="inlineStr">
        <is>
          <t>0009001970</t>
        </is>
      </c>
      <c r="B54" t="inlineStr">
        <is>
          <t>0000100298</t>
        </is>
      </c>
      <c r="C54" s="3" t="n">
        <v>45021</v>
      </c>
      <c r="D54" s="3" t="n">
        <v>45051</v>
      </c>
      <c r="E54" s="4" t="n">
        <v>287.8</v>
      </c>
      <c r="F54">
        <f>Summary!$B$3-D54</f>
        <v/>
      </c>
      <c r="G54">
        <f>IF(D54&gt;Summary!$B$3,"Current",IF(F54&lt;=30,"0-30",IF(F54&lt;=60,"31-60",IF(F54&lt;=90,"61-90","90+"))))</f>
        <v/>
      </c>
    </row>
    <row r="55">
      <c r="A55" t="inlineStr">
        <is>
          <t>0009002058</t>
        </is>
      </c>
      <c r="B55" t="inlineStr">
        <is>
          <t>0000100103</t>
        </is>
      </c>
      <c r="C55" s="3" t="n">
        <v>45026</v>
      </c>
      <c r="D55" s="3" t="n">
        <v>45086</v>
      </c>
      <c r="E55" s="4" t="n">
        <v>3191.09</v>
      </c>
      <c r="F55">
        <f>Summary!$B$3-D55</f>
        <v/>
      </c>
      <c r="G55">
        <f>IF(D55&gt;Summary!$B$3,"Current",IF(F55&lt;=30,"0-30",IF(F55&lt;=60,"31-60",IF(F55&lt;=90,"61-90","90+"))))</f>
        <v/>
      </c>
    </row>
    <row r="56">
      <c r="A56" t="inlineStr">
        <is>
          <t>0009002068</t>
        </is>
      </c>
      <c r="B56" t="inlineStr">
        <is>
          <t>0000100002</t>
        </is>
      </c>
      <c r="C56" s="3" t="n">
        <v>45024</v>
      </c>
      <c r="D56" s="3" t="n">
        <v>45084</v>
      </c>
      <c r="E56" s="4" t="n">
        <v>813.75</v>
      </c>
      <c r="F56">
        <f>Summary!$B$3-D56</f>
        <v/>
      </c>
      <c r="G56">
        <f>IF(D56&gt;Summary!$B$3,"Current",IF(F56&lt;=30,"0-30",IF(F56&lt;=60,"31-60",IF(F56&lt;=90,"61-90","90+"))))</f>
        <v/>
      </c>
    </row>
    <row r="57">
      <c r="A57" t="inlineStr">
        <is>
          <t>0009002174</t>
        </is>
      </c>
      <c r="B57" t="inlineStr">
        <is>
          <t>0000100010</t>
        </is>
      </c>
      <c r="C57" s="3" t="n">
        <v>45035</v>
      </c>
      <c r="D57" s="3" t="n">
        <v>45080</v>
      </c>
      <c r="E57" s="4" t="n">
        <v>380.42</v>
      </c>
      <c r="F57">
        <f>Summary!$B$3-D57</f>
        <v/>
      </c>
      <c r="G57">
        <f>IF(D57&gt;Summary!$B$3,"Current",IF(F57&lt;=30,"0-30",IF(F57&lt;=60,"31-60",IF(F57&lt;=90,"61-90","90+"))))</f>
        <v/>
      </c>
    </row>
    <row r="58">
      <c r="A58" t="inlineStr">
        <is>
          <t>0009002228</t>
        </is>
      </c>
      <c r="B58" t="inlineStr">
        <is>
          <t>0000100089</t>
        </is>
      </c>
      <c r="C58" s="3" t="n">
        <v>45032</v>
      </c>
      <c r="D58" s="3" t="n">
        <v>45077</v>
      </c>
      <c r="E58" s="4" t="n">
        <v>1332.27</v>
      </c>
      <c r="F58">
        <f>Summary!$B$3-D58</f>
        <v/>
      </c>
      <c r="G58">
        <f>IF(D58&gt;Summary!$B$3,"Current",IF(F58&lt;=30,"0-30",IF(F58&lt;=60,"31-60",IF(F58&lt;=90,"61-90","90+"))))</f>
        <v/>
      </c>
    </row>
    <row r="59">
      <c r="A59" t="inlineStr">
        <is>
          <t>0009002258</t>
        </is>
      </c>
      <c r="B59" t="inlineStr">
        <is>
          <t>0000100002</t>
        </is>
      </c>
      <c r="C59" s="3" t="n">
        <v>45031</v>
      </c>
      <c r="D59" s="3" t="n">
        <v>45091</v>
      </c>
      <c r="E59" s="4" t="n">
        <v>952.91</v>
      </c>
      <c r="F59">
        <f>Summary!$B$3-D59</f>
        <v/>
      </c>
      <c r="G59">
        <f>IF(D59&gt;Summary!$B$3,"Current",IF(F59&lt;=30,"0-30",IF(F59&lt;=60,"31-60",IF(F59&lt;=90,"61-90","90+"))))</f>
        <v/>
      </c>
    </row>
    <row r="60">
      <c r="A60" t="inlineStr">
        <is>
          <t>0009002336</t>
        </is>
      </c>
      <c r="B60" t="inlineStr">
        <is>
          <t>0000100268</t>
        </is>
      </c>
      <c r="C60" s="3" t="n">
        <v>45035</v>
      </c>
      <c r="D60" s="3" t="n">
        <v>45065</v>
      </c>
      <c r="E60" s="4" t="n">
        <v>1279.79</v>
      </c>
      <c r="F60">
        <f>Summary!$B$3-D60</f>
        <v/>
      </c>
      <c r="G60">
        <f>IF(D60&gt;Summary!$B$3,"Current",IF(F60&lt;=30,"0-30",IF(F60&lt;=60,"31-60",IF(F60&lt;=90,"61-90","90+"))))</f>
        <v/>
      </c>
    </row>
    <row r="61">
      <c r="A61" t="inlineStr">
        <is>
          <t>0009002452</t>
        </is>
      </c>
      <c r="B61" t="inlineStr">
        <is>
          <t>0000100203</t>
        </is>
      </c>
      <c r="C61" s="3" t="n">
        <v>45044</v>
      </c>
      <c r="D61" s="3" t="n">
        <v>45089</v>
      </c>
      <c r="E61" s="4" t="n">
        <v>312.17</v>
      </c>
      <c r="F61">
        <f>Summary!$B$3-D61</f>
        <v/>
      </c>
      <c r="G61">
        <f>IF(D61&gt;Summary!$B$3,"Current",IF(F61&lt;=30,"0-30",IF(F61&lt;=60,"31-60",IF(F61&lt;=90,"61-90","90+"))))</f>
        <v/>
      </c>
    </row>
    <row r="62">
      <c r="A62" t="inlineStr">
        <is>
          <t>0009002477</t>
        </is>
      </c>
      <c r="B62" t="inlineStr">
        <is>
          <t>0000100229</t>
        </is>
      </c>
      <c r="C62" s="3" t="n">
        <v>45041</v>
      </c>
      <c r="D62" s="3" t="n">
        <v>45071</v>
      </c>
      <c r="E62" s="4" t="n">
        <v>1080.29</v>
      </c>
      <c r="F62">
        <f>Summary!$B$3-D62</f>
        <v/>
      </c>
      <c r="G62">
        <f>IF(D62&gt;Summary!$B$3,"Current",IF(F62&lt;=30,"0-30",IF(F62&lt;=60,"31-60",IF(F62&lt;=90,"61-90","90+"))))</f>
        <v/>
      </c>
    </row>
    <row r="63">
      <c r="A63" t="inlineStr">
        <is>
          <t>0009002481</t>
        </is>
      </c>
      <c r="B63" t="inlineStr">
        <is>
          <t>0000100588</t>
        </is>
      </c>
      <c r="C63" s="3" t="n">
        <v>45044</v>
      </c>
      <c r="D63" s="3" t="n">
        <v>45074</v>
      </c>
      <c r="E63" s="4" t="n">
        <v>295.53</v>
      </c>
      <c r="F63">
        <f>Summary!$B$3-D63</f>
        <v/>
      </c>
      <c r="G63">
        <f>IF(D63&gt;Summary!$B$3,"Current",IF(F63&lt;=30,"0-30",IF(F63&lt;=60,"31-60",IF(F63&lt;=90,"61-90","90+"))))</f>
        <v/>
      </c>
    </row>
    <row r="64">
      <c r="A64" t="inlineStr">
        <is>
          <t>0009002494</t>
        </is>
      </c>
      <c r="B64" t="inlineStr">
        <is>
          <t>0000100019</t>
        </is>
      </c>
      <c r="C64" s="3" t="n">
        <v>45039</v>
      </c>
      <c r="D64" s="3" t="n">
        <v>45069</v>
      </c>
      <c r="E64" s="4" t="n">
        <v>506.63</v>
      </c>
      <c r="F64">
        <f>Summary!$B$3-D64</f>
        <v/>
      </c>
      <c r="G64">
        <f>IF(D64&gt;Summary!$B$3,"Current",IF(F64&lt;=30,"0-30",IF(F64&lt;=60,"31-60",IF(F64&lt;=90,"61-90","90+"))))</f>
        <v/>
      </c>
    </row>
    <row r="65">
      <c r="A65" t="inlineStr">
        <is>
          <t>0009002517</t>
        </is>
      </c>
      <c r="B65" t="inlineStr">
        <is>
          <t>0000100272</t>
        </is>
      </c>
      <c r="C65" s="3" t="n">
        <v>45039</v>
      </c>
      <c r="D65" s="3" t="n">
        <v>45099</v>
      </c>
      <c r="E65" s="4" t="n">
        <v>953.2</v>
      </c>
      <c r="F65">
        <f>Summary!$B$3-D65</f>
        <v/>
      </c>
      <c r="G65">
        <f>IF(D65&gt;Summary!$B$3,"Current",IF(F65&lt;=30,"0-30",IF(F65&lt;=60,"31-60",IF(F65&lt;=90,"61-90","90+"))))</f>
        <v/>
      </c>
    </row>
    <row r="66">
      <c r="A66" t="inlineStr">
        <is>
          <t>0009002529</t>
        </is>
      </c>
      <c r="B66" t="inlineStr">
        <is>
          <t>0000100319</t>
        </is>
      </c>
      <c r="C66" s="3" t="n">
        <v>45045</v>
      </c>
      <c r="D66" s="3" t="n">
        <v>45090</v>
      </c>
      <c r="E66" s="4" t="n">
        <v>855.48</v>
      </c>
      <c r="F66">
        <f>Summary!$B$3-D66</f>
        <v/>
      </c>
      <c r="G66">
        <f>IF(D66&gt;Summary!$B$3,"Current",IF(F66&lt;=30,"0-30",IF(F66&lt;=60,"31-60",IF(F66&lt;=90,"61-90","90+"))))</f>
        <v/>
      </c>
    </row>
    <row r="67">
      <c r="A67" t="inlineStr">
        <is>
          <t>0009002560</t>
        </is>
      </c>
      <c r="B67" t="inlineStr">
        <is>
          <t>0000100400</t>
        </is>
      </c>
      <c r="C67" s="3" t="n">
        <v>45046</v>
      </c>
      <c r="D67" s="3" t="n">
        <v>45076</v>
      </c>
      <c r="E67" s="4" t="n">
        <v>163.82</v>
      </c>
      <c r="F67">
        <f>Summary!$B$3-D67</f>
        <v/>
      </c>
      <c r="G67">
        <f>IF(D67&gt;Summary!$B$3,"Current",IF(F67&lt;=30,"0-30",IF(F67&lt;=60,"31-60",IF(F67&lt;=90,"61-90","90+"))))</f>
        <v/>
      </c>
    </row>
    <row r="68">
      <c r="A68" t="inlineStr">
        <is>
          <t>0009002576</t>
        </is>
      </c>
      <c r="B68" t="inlineStr">
        <is>
          <t>0000100141</t>
        </is>
      </c>
      <c r="C68" s="3" t="n">
        <v>45041</v>
      </c>
      <c r="D68" s="3" t="n">
        <v>45071</v>
      </c>
      <c r="E68" s="4" t="n">
        <v>674.49</v>
      </c>
      <c r="F68">
        <f>Summary!$B$3-D68</f>
        <v/>
      </c>
      <c r="G68">
        <f>IF(D68&gt;Summary!$B$3,"Current",IF(F68&lt;=30,"0-30",IF(F68&lt;=60,"31-60",IF(F68&lt;=90,"61-90","90+"))))</f>
        <v/>
      </c>
    </row>
    <row r="69">
      <c r="A69" t="inlineStr">
        <is>
          <t>0009002578</t>
        </is>
      </c>
      <c r="B69" t="inlineStr">
        <is>
          <t>0000100145</t>
        </is>
      </c>
      <c r="C69" s="3" t="n">
        <v>45045</v>
      </c>
      <c r="D69" s="3" t="n">
        <v>45075</v>
      </c>
      <c r="E69" s="4" t="n">
        <v>750.97</v>
      </c>
      <c r="F69">
        <f>Summary!$B$3-D69</f>
        <v/>
      </c>
      <c r="G69">
        <f>IF(D69&gt;Summary!$B$3,"Current",IF(F69&lt;=30,"0-30",IF(F69&lt;=60,"31-60",IF(F69&lt;=90,"61-90","90+"))))</f>
        <v/>
      </c>
    </row>
    <row r="70">
      <c r="A70" t="inlineStr">
        <is>
          <t>0009002580</t>
        </is>
      </c>
      <c r="B70" t="inlineStr">
        <is>
          <t>0000100590</t>
        </is>
      </c>
      <c r="C70" s="3" t="n">
        <v>45040</v>
      </c>
      <c r="D70" s="3" t="n">
        <v>45070</v>
      </c>
      <c r="E70" s="4" t="n">
        <v>3445.7</v>
      </c>
      <c r="F70">
        <f>Summary!$B$3-D70</f>
        <v/>
      </c>
      <c r="G70">
        <f>IF(D70&gt;Summary!$B$3,"Current",IF(F70&lt;=30,"0-30",IF(F70&lt;=60,"31-60",IF(F70&lt;=90,"61-90","90+"))))</f>
        <v/>
      </c>
    </row>
    <row r="71">
      <c r="A71" t="inlineStr">
        <is>
          <t>0009002583</t>
        </is>
      </c>
      <c r="B71" t="inlineStr">
        <is>
          <t>0000100588</t>
        </is>
      </c>
      <c r="C71" s="3" t="n">
        <v>45043</v>
      </c>
      <c r="D71" s="3" t="n">
        <v>45073</v>
      </c>
      <c r="E71" s="4" t="n">
        <v>883.6799999999999</v>
      </c>
      <c r="F71">
        <f>Summary!$B$3-D71</f>
        <v/>
      </c>
      <c r="G71">
        <f>IF(D71&gt;Summary!$B$3,"Current",IF(F71&lt;=30,"0-30",IF(F71&lt;=60,"31-60",IF(F71&lt;=90,"61-90","90+"))))</f>
        <v/>
      </c>
    </row>
    <row r="72">
      <c r="A72" t="inlineStr">
        <is>
          <t>0009002603</t>
        </is>
      </c>
      <c r="B72" t="inlineStr">
        <is>
          <t>0000100508</t>
        </is>
      </c>
      <c r="C72" s="3" t="n">
        <v>45046</v>
      </c>
      <c r="D72" s="3" t="n">
        <v>45106</v>
      </c>
      <c r="E72" s="4" t="n">
        <v>671.52</v>
      </c>
      <c r="F72">
        <f>Summary!$B$3-D72</f>
        <v/>
      </c>
      <c r="G72">
        <f>IF(D72&gt;Summary!$B$3,"Current",IF(F72&lt;=30,"0-30",IF(F72&lt;=60,"31-60",IF(F72&lt;=90,"61-90","90+"))))</f>
        <v/>
      </c>
    </row>
    <row r="73">
      <c r="A73" t="inlineStr">
        <is>
          <t>0009002614</t>
        </is>
      </c>
      <c r="B73" t="inlineStr">
        <is>
          <t>0000100355</t>
        </is>
      </c>
      <c r="C73" s="3" t="n">
        <v>45044</v>
      </c>
      <c r="D73" s="3" t="n">
        <v>45104</v>
      </c>
      <c r="E73" s="4" t="n">
        <v>1263.1</v>
      </c>
      <c r="F73">
        <f>Summary!$B$3-D73</f>
        <v/>
      </c>
      <c r="G73">
        <f>IF(D73&gt;Summary!$B$3,"Current",IF(F73&lt;=30,"0-30",IF(F73&lt;=60,"31-60",IF(F73&lt;=90,"61-90","90+"))))</f>
        <v/>
      </c>
    </row>
    <row r="74">
      <c r="A74" t="inlineStr">
        <is>
          <t>0009002671</t>
        </is>
      </c>
      <c r="B74" t="inlineStr">
        <is>
          <t>0000100371</t>
        </is>
      </c>
      <c r="C74" s="3" t="n">
        <v>45050</v>
      </c>
      <c r="D74" s="3" t="n">
        <v>45080</v>
      </c>
      <c r="E74" s="4" t="n">
        <v>96.33</v>
      </c>
      <c r="F74">
        <f>Summary!$B$3-D74</f>
        <v/>
      </c>
      <c r="G74">
        <f>IF(D74&gt;Summary!$B$3,"Current",IF(F74&lt;=30,"0-30",IF(F74&lt;=60,"31-60",IF(F74&lt;=90,"61-90","90+"))))</f>
        <v/>
      </c>
    </row>
    <row r="75">
      <c r="A75" t="inlineStr">
        <is>
          <t>0009002829</t>
        </is>
      </c>
      <c r="B75" t="inlineStr">
        <is>
          <t>0000100011</t>
        </is>
      </c>
      <c r="C75" s="3" t="n">
        <v>45055</v>
      </c>
      <c r="D75" s="3" t="n">
        <v>45100</v>
      </c>
      <c r="E75" s="4" t="n">
        <v>661.47</v>
      </c>
      <c r="F75">
        <f>Summary!$B$3-D75</f>
        <v/>
      </c>
      <c r="G75">
        <f>IF(D75&gt;Summary!$B$3,"Current",IF(F75&lt;=30,"0-30",IF(F75&lt;=60,"31-60",IF(F75&lt;=90,"61-90","90+"))))</f>
        <v/>
      </c>
    </row>
    <row r="76">
      <c r="A76" t="inlineStr">
        <is>
          <t>0009002839</t>
        </is>
      </c>
      <c r="B76" t="inlineStr">
        <is>
          <t>0000100350</t>
        </is>
      </c>
      <c r="C76" s="3" t="n">
        <v>45058</v>
      </c>
      <c r="D76" s="3" t="n">
        <v>45103</v>
      </c>
      <c r="E76" s="4" t="n">
        <v>78.52</v>
      </c>
      <c r="F76">
        <f>Summary!$B$3-D76</f>
        <v/>
      </c>
      <c r="G76">
        <f>IF(D76&gt;Summary!$B$3,"Current",IF(F76&lt;=30,"0-30",IF(F76&lt;=60,"31-60",IF(F76&lt;=90,"61-90","90+"))))</f>
        <v/>
      </c>
    </row>
    <row r="77">
      <c r="A77" t="inlineStr">
        <is>
          <t>0009002968</t>
        </is>
      </c>
      <c r="B77" t="inlineStr">
        <is>
          <t>0000100267</t>
        </is>
      </c>
      <c r="C77" s="3" t="n">
        <v>45061</v>
      </c>
      <c r="D77" s="3" t="n">
        <v>45106</v>
      </c>
      <c r="E77" s="4" t="n">
        <v>363.09</v>
      </c>
      <c r="F77">
        <f>Summary!$B$3-D77</f>
        <v/>
      </c>
      <c r="G77">
        <f>IF(D77&gt;Summary!$B$3,"Current",IF(F77&lt;=30,"0-30",IF(F77&lt;=60,"31-60",IF(F77&lt;=90,"61-90","90+"))))</f>
        <v/>
      </c>
    </row>
    <row r="78">
      <c r="A78" t="inlineStr">
        <is>
          <t>0009003017</t>
        </is>
      </c>
      <c r="B78" t="inlineStr">
        <is>
          <t>0000100384</t>
        </is>
      </c>
      <c r="C78" s="3" t="n">
        <v>45062</v>
      </c>
      <c r="D78" s="3" t="n">
        <v>45092</v>
      </c>
      <c r="E78" s="4" t="n">
        <v>229.25</v>
      </c>
      <c r="F78">
        <f>Summary!$B$3-D78</f>
        <v/>
      </c>
      <c r="G78">
        <f>IF(D78&gt;Summary!$B$3,"Current",IF(F78&lt;=30,"0-30",IF(F78&lt;=60,"31-60",IF(F78&lt;=90,"61-90","90+"))))</f>
        <v/>
      </c>
    </row>
    <row r="79">
      <c r="A79" t="inlineStr">
        <is>
          <t>0009003033</t>
        </is>
      </c>
      <c r="B79" t="inlineStr">
        <is>
          <t>0000100201</t>
        </is>
      </c>
      <c r="C79" s="3" t="n">
        <v>45069</v>
      </c>
      <c r="D79" s="3" t="n">
        <v>45099</v>
      </c>
      <c r="E79" s="4" t="n">
        <v>499.59</v>
      </c>
      <c r="F79">
        <f>Summary!$B$3-D79</f>
        <v/>
      </c>
      <c r="G79">
        <f>IF(D79&gt;Summary!$B$3,"Current",IF(F79&lt;=30,"0-30",IF(F79&lt;=60,"31-60",IF(F79&lt;=90,"61-90","90+"))))</f>
        <v/>
      </c>
    </row>
    <row r="80">
      <c r="A80" t="inlineStr">
        <is>
          <t>0009003046</t>
        </is>
      </c>
      <c r="B80" t="inlineStr">
        <is>
          <t>0000100198</t>
        </is>
      </c>
      <c r="C80" s="3" t="n">
        <v>45068</v>
      </c>
      <c r="D80" s="3" t="n">
        <v>45113</v>
      </c>
      <c r="E80" s="4" t="n">
        <v>480.48</v>
      </c>
      <c r="F80">
        <f>Summary!$B$3-D80</f>
        <v/>
      </c>
      <c r="G80">
        <f>IF(D80&gt;Summary!$B$3,"Current",IF(F80&lt;=30,"0-30",IF(F80&lt;=60,"31-60",IF(F80&lt;=90,"61-90","90+"))))</f>
        <v/>
      </c>
    </row>
    <row r="81">
      <c r="A81" t="inlineStr">
        <is>
          <t>0009003082</t>
        </is>
      </c>
      <c r="B81" t="inlineStr">
        <is>
          <t>0000100348</t>
        </is>
      </c>
      <c r="C81" s="3" t="n">
        <v>45062</v>
      </c>
      <c r="D81" s="3" t="n">
        <v>45122</v>
      </c>
      <c r="E81" s="4" t="n">
        <v>171.52</v>
      </c>
      <c r="F81">
        <f>Summary!$B$3-D81</f>
        <v/>
      </c>
      <c r="G81">
        <f>IF(D81&gt;Summary!$B$3,"Current",IF(F81&lt;=30,"0-30",IF(F81&lt;=60,"31-60",IF(F81&lt;=90,"61-90","90+"))))</f>
        <v/>
      </c>
    </row>
    <row r="82">
      <c r="A82" t="inlineStr">
        <is>
          <t>0009003084</t>
        </is>
      </c>
      <c r="B82" t="inlineStr">
        <is>
          <t>0000100414</t>
        </is>
      </c>
      <c r="C82" s="3" t="n">
        <v>45069</v>
      </c>
      <c r="D82" s="3" t="n">
        <v>45099</v>
      </c>
      <c r="E82" s="4" t="n">
        <v>246</v>
      </c>
      <c r="F82">
        <f>Summary!$B$3-D82</f>
        <v/>
      </c>
      <c r="G82">
        <f>IF(D82&gt;Summary!$B$3,"Current",IF(F82&lt;=30,"0-30",IF(F82&lt;=60,"31-60",IF(F82&lt;=90,"61-90","90+"))))</f>
        <v/>
      </c>
    </row>
    <row r="83">
      <c r="A83" t="inlineStr">
        <is>
          <t>0009003183</t>
        </is>
      </c>
      <c r="B83" t="inlineStr">
        <is>
          <t>0000100379</t>
        </is>
      </c>
      <c r="C83" s="3" t="n">
        <v>45079</v>
      </c>
      <c r="D83" s="3" t="n">
        <v>45109</v>
      </c>
      <c r="E83" s="4" t="n">
        <v>703.7</v>
      </c>
      <c r="F83">
        <f>Summary!$B$3-D83</f>
        <v/>
      </c>
      <c r="G83">
        <f>IF(D83&gt;Summary!$B$3,"Current",IF(F83&lt;=30,"0-30",IF(F83&lt;=60,"31-60",IF(F83&lt;=90,"61-90","90+"))))</f>
        <v/>
      </c>
    </row>
    <row r="84">
      <c r="A84" t="inlineStr">
        <is>
          <t>0009003227</t>
        </is>
      </c>
      <c r="B84" t="inlineStr">
        <is>
          <t>0000100122</t>
        </is>
      </c>
      <c r="C84" s="3" t="n">
        <v>45075</v>
      </c>
      <c r="D84" s="3" t="n">
        <v>45105</v>
      </c>
      <c r="E84" s="4" t="n">
        <v>591.5700000000001</v>
      </c>
      <c r="F84">
        <f>Summary!$B$3-D84</f>
        <v/>
      </c>
      <c r="G84">
        <f>IF(D84&gt;Summary!$B$3,"Current",IF(F84&lt;=30,"0-30",IF(F84&lt;=60,"31-60",IF(F84&lt;=90,"61-90","90+"))))</f>
        <v/>
      </c>
    </row>
    <row r="85">
      <c r="A85" t="inlineStr">
        <is>
          <t>0009003228</t>
        </is>
      </c>
      <c r="B85" t="inlineStr">
        <is>
          <t>0000100484</t>
        </is>
      </c>
      <c r="C85" s="3" t="n">
        <v>45072</v>
      </c>
      <c r="D85" s="3" t="n">
        <v>45132</v>
      </c>
      <c r="E85" s="4" t="n">
        <v>1100.6</v>
      </c>
      <c r="F85">
        <f>Summary!$B$3-D85</f>
        <v/>
      </c>
      <c r="G85">
        <f>IF(D85&gt;Summary!$B$3,"Current",IF(F85&lt;=30,"0-30",IF(F85&lt;=60,"31-60",IF(F85&lt;=90,"61-90","90+"))))</f>
        <v/>
      </c>
    </row>
    <row r="86">
      <c r="A86" t="inlineStr">
        <is>
          <t>0009003230</t>
        </is>
      </c>
      <c r="B86" t="inlineStr">
        <is>
          <t>0000100073</t>
        </is>
      </c>
      <c r="C86" s="3" t="n">
        <v>45074</v>
      </c>
      <c r="D86" s="3" t="n">
        <v>45119</v>
      </c>
      <c r="E86" s="4" t="n">
        <v>753.37</v>
      </c>
      <c r="F86">
        <f>Summary!$B$3-D86</f>
        <v/>
      </c>
      <c r="G86">
        <f>IF(D86&gt;Summary!$B$3,"Current",IF(F86&lt;=30,"0-30",IF(F86&lt;=60,"31-60",IF(F86&lt;=90,"61-90","90+"))))</f>
        <v/>
      </c>
    </row>
    <row r="87">
      <c r="A87" t="inlineStr">
        <is>
          <t>0009003295</t>
        </is>
      </c>
      <c r="B87" t="inlineStr">
        <is>
          <t>0000100268</t>
        </is>
      </c>
      <c r="C87" s="3" t="n">
        <v>45076</v>
      </c>
      <c r="D87" s="3" t="n">
        <v>45106</v>
      </c>
      <c r="E87" s="4" t="n">
        <v>319.72</v>
      </c>
      <c r="F87">
        <f>Summary!$B$3-D87</f>
        <v/>
      </c>
      <c r="G87">
        <f>IF(D87&gt;Summary!$B$3,"Current",IF(F87&lt;=30,"0-30",IF(F87&lt;=60,"31-60",IF(F87&lt;=90,"61-90","90+"))))</f>
        <v/>
      </c>
    </row>
    <row r="88">
      <c r="A88" t="inlineStr">
        <is>
          <t>0009003340</t>
        </is>
      </c>
      <c r="B88" t="inlineStr">
        <is>
          <t>0000100383</t>
        </is>
      </c>
      <c r="C88" s="3" t="n">
        <v>45077</v>
      </c>
      <c r="D88" s="3" t="n">
        <v>45107</v>
      </c>
      <c r="E88" s="4" t="n">
        <v>57.76</v>
      </c>
      <c r="F88">
        <f>Summary!$B$3-D88</f>
        <v/>
      </c>
      <c r="G88">
        <f>IF(D88&gt;Summary!$B$3,"Current",IF(F88&lt;=30,"0-30",IF(F88&lt;=60,"31-60",IF(F88&lt;=90,"61-90","90+"))))</f>
        <v/>
      </c>
    </row>
    <row r="89">
      <c r="A89" t="inlineStr">
        <is>
          <t>0009003362</t>
        </is>
      </c>
      <c r="B89" t="inlineStr">
        <is>
          <t>0000100153</t>
        </is>
      </c>
      <c r="C89" s="3" t="n">
        <v>45075</v>
      </c>
      <c r="D89" s="3" t="n">
        <v>45105</v>
      </c>
      <c r="E89" s="4" t="n">
        <v>1216</v>
      </c>
      <c r="F89">
        <f>Summary!$B$3-D89</f>
        <v/>
      </c>
      <c r="G89">
        <f>IF(D89&gt;Summary!$B$3,"Current",IF(F89&lt;=30,"0-30",IF(F89&lt;=60,"31-60",IF(F89&lt;=90,"61-90","90+"))))</f>
        <v/>
      </c>
    </row>
    <row r="90">
      <c r="A90" t="inlineStr">
        <is>
          <t>0009003393</t>
        </is>
      </c>
      <c r="B90" t="inlineStr">
        <is>
          <t>0000100315</t>
        </is>
      </c>
      <c r="C90" s="3" t="n">
        <v>45078</v>
      </c>
      <c r="D90" s="3" t="n">
        <v>45138</v>
      </c>
      <c r="E90" s="4" t="n">
        <v>518.4400000000001</v>
      </c>
      <c r="F90">
        <f>Summary!$B$3-D90</f>
        <v/>
      </c>
      <c r="G90">
        <f>IF(D90&gt;Summary!$B$3,"Current",IF(F90&lt;=30,"0-30",IF(F90&lt;=60,"31-60",IF(F90&lt;=90,"61-90","90+"))))</f>
        <v/>
      </c>
    </row>
    <row r="91">
      <c r="A91" t="inlineStr">
        <is>
          <t>0009003428</t>
        </is>
      </c>
      <c r="B91" t="inlineStr">
        <is>
          <t>0000100268</t>
        </is>
      </c>
      <c r="C91" s="3" t="n">
        <v>45080</v>
      </c>
      <c r="D91" s="3" t="n">
        <v>45110</v>
      </c>
      <c r="E91" s="4" t="n">
        <v>741.08</v>
      </c>
      <c r="F91">
        <f>Summary!$B$3-D91</f>
        <v/>
      </c>
      <c r="G91">
        <f>IF(D91&gt;Summary!$B$3,"Current",IF(F91&lt;=30,"0-30",IF(F91&lt;=60,"31-60",IF(F91&lt;=90,"61-90","90+"))))</f>
        <v/>
      </c>
    </row>
    <row r="92">
      <c r="A92" t="inlineStr">
        <is>
          <t>0009003468</t>
        </is>
      </c>
      <c r="B92" t="inlineStr">
        <is>
          <t>0000100298</t>
        </is>
      </c>
      <c r="C92" s="3" t="n">
        <v>45086</v>
      </c>
      <c r="D92" s="3" t="n">
        <v>45116</v>
      </c>
      <c r="E92" s="4" t="n">
        <v>451.92</v>
      </c>
      <c r="F92">
        <f>Summary!$B$3-D92</f>
        <v/>
      </c>
      <c r="G92">
        <f>IF(D92&gt;Summary!$B$3,"Current",IF(F92&lt;=30,"0-30",IF(F92&lt;=60,"31-60",IF(F92&lt;=90,"61-90","90+"))))</f>
        <v/>
      </c>
    </row>
    <row r="93">
      <c r="A93" t="inlineStr">
        <is>
          <t>0009003493</t>
        </is>
      </c>
      <c r="B93" t="inlineStr">
        <is>
          <t>0000100064</t>
        </is>
      </c>
      <c r="C93" s="3" t="n">
        <v>45085</v>
      </c>
      <c r="D93" s="3" t="n">
        <v>45115</v>
      </c>
      <c r="E93" s="4" t="n">
        <v>92.09999999999999</v>
      </c>
      <c r="F93">
        <f>Summary!$B$3-D93</f>
        <v/>
      </c>
      <c r="G93">
        <f>IF(D93&gt;Summary!$B$3,"Current",IF(F93&lt;=30,"0-30",IF(F93&lt;=60,"31-60",IF(F93&lt;=90,"61-90","90+"))))</f>
        <v/>
      </c>
    </row>
    <row r="94">
      <c r="A94" t="inlineStr">
        <is>
          <t>0009003576</t>
        </is>
      </c>
      <c r="B94" t="inlineStr">
        <is>
          <t>0000100409</t>
        </is>
      </c>
      <c r="C94" s="3" t="n">
        <v>45083</v>
      </c>
      <c r="D94" s="3" t="n">
        <v>45113</v>
      </c>
      <c r="E94" s="4" t="n">
        <v>372.91</v>
      </c>
      <c r="F94">
        <f>Summary!$B$3-D94</f>
        <v/>
      </c>
      <c r="G94">
        <f>IF(D94&gt;Summary!$B$3,"Current",IF(F94&lt;=30,"0-30",IF(F94&lt;=60,"31-60",IF(F94&lt;=90,"61-90","90+"))))</f>
        <v/>
      </c>
    </row>
    <row r="95">
      <c r="A95" t="inlineStr">
        <is>
          <t>0009003592</t>
        </is>
      </c>
      <c r="B95" t="inlineStr">
        <is>
          <t>0000100545</t>
        </is>
      </c>
      <c r="C95" s="3" t="n">
        <v>45082</v>
      </c>
      <c r="D95" s="3" t="n">
        <v>45112</v>
      </c>
      <c r="E95" s="4" t="n">
        <v>73.95</v>
      </c>
      <c r="F95">
        <f>Summary!$B$3-D95</f>
        <v/>
      </c>
      <c r="G95">
        <f>IF(D95&gt;Summary!$B$3,"Current",IF(F95&lt;=30,"0-30",IF(F95&lt;=60,"31-60",IF(F95&lt;=90,"61-90","90+"))))</f>
        <v/>
      </c>
    </row>
    <row r="96">
      <c r="A96" t="inlineStr">
        <is>
          <t>0009003594</t>
        </is>
      </c>
      <c r="B96" t="inlineStr">
        <is>
          <t>0000100291</t>
        </is>
      </c>
      <c r="C96" s="3" t="n">
        <v>45086</v>
      </c>
      <c r="D96" s="3" t="n">
        <v>45146</v>
      </c>
      <c r="E96" s="4" t="n">
        <v>625.86</v>
      </c>
      <c r="F96">
        <f>Summary!$B$3-D96</f>
        <v/>
      </c>
      <c r="G96">
        <f>IF(D96&gt;Summary!$B$3,"Current",IF(F96&lt;=30,"0-30",IF(F96&lt;=60,"31-60",IF(F96&lt;=90,"61-90","90+"))))</f>
        <v/>
      </c>
    </row>
    <row r="97">
      <c r="A97" t="inlineStr">
        <is>
          <t>0009003647</t>
        </is>
      </c>
      <c r="B97" t="inlineStr">
        <is>
          <t>0000100324</t>
        </is>
      </c>
      <c r="C97" s="3" t="n">
        <v>45089</v>
      </c>
      <c r="D97" s="3" t="n">
        <v>45119</v>
      </c>
      <c r="E97" s="4" t="n">
        <v>578.92</v>
      </c>
      <c r="F97">
        <f>Summary!$B$3-D97</f>
        <v/>
      </c>
      <c r="G97">
        <f>IF(D97&gt;Summary!$B$3,"Current",IF(F97&lt;=30,"0-30",IF(F97&lt;=60,"31-60",IF(F97&lt;=90,"61-90","90+"))))</f>
        <v/>
      </c>
    </row>
    <row r="98">
      <c r="A98" t="inlineStr">
        <is>
          <t>0009003651</t>
        </is>
      </c>
      <c r="B98" t="inlineStr">
        <is>
          <t>0000100097</t>
        </is>
      </c>
      <c r="C98" s="3" t="n">
        <v>45098</v>
      </c>
      <c r="D98" s="3" t="n">
        <v>45143</v>
      </c>
      <c r="E98" s="4" t="n">
        <v>278.44</v>
      </c>
      <c r="F98">
        <f>Summary!$B$3-D98</f>
        <v/>
      </c>
      <c r="G98">
        <f>IF(D98&gt;Summary!$B$3,"Current",IF(F98&lt;=30,"0-30",IF(F98&lt;=60,"31-60",IF(F98&lt;=90,"61-90","90+"))))</f>
        <v/>
      </c>
    </row>
    <row r="99">
      <c r="A99" t="inlineStr">
        <is>
          <t>0009003670</t>
        </is>
      </c>
      <c r="B99" t="inlineStr">
        <is>
          <t>0000100364</t>
        </is>
      </c>
      <c r="C99" s="3" t="n">
        <v>45093</v>
      </c>
      <c r="D99" s="3" t="n">
        <v>45153</v>
      </c>
      <c r="E99" s="4" t="n">
        <v>428.4</v>
      </c>
      <c r="F99">
        <f>Summary!$B$3-D99</f>
        <v/>
      </c>
      <c r="G99">
        <f>IF(D99&gt;Summary!$B$3,"Current",IF(F99&lt;=30,"0-30",IF(F99&lt;=60,"31-60",IF(F99&lt;=90,"61-90","90+"))))</f>
        <v/>
      </c>
    </row>
    <row r="100">
      <c r="A100" t="inlineStr">
        <is>
          <t>0009003682</t>
        </is>
      </c>
      <c r="B100" t="inlineStr">
        <is>
          <t>0000100052</t>
        </is>
      </c>
      <c r="C100" s="3" t="n">
        <v>45091</v>
      </c>
      <c r="D100" s="3" t="n">
        <v>45136</v>
      </c>
      <c r="E100" s="4" t="n">
        <v>108.78</v>
      </c>
      <c r="F100">
        <f>Summary!$B$3-D100</f>
        <v/>
      </c>
      <c r="G100">
        <f>IF(D100&gt;Summary!$B$3,"Current",IF(F100&lt;=30,"0-30",IF(F100&lt;=60,"31-60",IF(F100&lt;=90,"61-90","90+"))))</f>
        <v/>
      </c>
    </row>
    <row r="101">
      <c r="A101" t="inlineStr">
        <is>
          <t>0009003684</t>
        </is>
      </c>
      <c r="B101" t="inlineStr">
        <is>
          <t>0000100056</t>
        </is>
      </c>
      <c r="C101" s="3" t="n">
        <v>45091</v>
      </c>
      <c r="D101" s="3" t="n">
        <v>45151</v>
      </c>
      <c r="E101" s="4" t="n">
        <v>782.6</v>
      </c>
      <c r="F101">
        <f>Summary!$B$3-D101</f>
        <v/>
      </c>
      <c r="G101">
        <f>IF(D101&gt;Summary!$B$3,"Current",IF(F101&lt;=30,"0-30",IF(F101&lt;=60,"31-60",IF(F101&lt;=90,"61-90","90+"))))</f>
        <v/>
      </c>
    </row>
    <row r="102">
      <c r="A102" t="inlineStr">
        <is>
          <t>0009003704</t>
        </is>
      </c>
      <c r="B102" t="inlineStr">
        <is>
          <t>0000100120</t>
        </is>
      </c>
      <c r="C102" s="3" t="n">
        <v>45090</v>
      </c>
      <c r="D102" s="3" t="n">
        <v>45135</v>
      </c>
      <c r="E102" s="4" t="n">
        <v>2089.3</v>
      </c>
      <c r="F102">
        <f>Summary!$B$3-D102</f>
        <v/>
      </c>
      <c r="G102">
        <f>IF(D102&gt;Summary!$B$3,"Current",IF(F102&lt;=30,"0-30",IF(F102&lt;=60,"31-60",IF(F102&lt;=90,"61-90","90+"))))</f>
        <v/>
      </c>
    </row>
    <row r="103">
      <c r="A103" t="inlineStr">
        <is>
          <t>0009003732</t>
        </is>
      </c>
      <c r="B103" t="inlineStr">
        <is>
          <t>0000100207</t>
        </is>
      </c>
      <c r="C103" s="3" t="n">
        <v>45095</v>
      </c>
      <c r="D103" s="3" t="n">
        <v>45125</v>
      </c>
      <c r="E103" s="4" t="n">
        <v>1741.94</v>
      </c>
      <c r="F103">
        <f>Summary!$B$3-D103</f>
        <v/>
      </c>
      <c r="G103">
        <f>IF(D103&gt;Summary!$B$3,"Current",IF(F103&lt;=30,"0-30",IF(F103&lt;=60,"31-60",IF(F103&lt;=90,"61-90","90+"))))</f>
        <v/>
      </c>
    </row>
    <row r="104">
      <c r="A104" t="inlineStr">
        <is>
          <t>0009003764</t>
        </is>
      </c>
      <c r="B104" t="inlineStr">
        <is>
          <t>0000100024</t>
        </is>
      </c>
      <c r="C104" s="3" t="n">
        <v>45095</v>
      </c>
      <c r="D104" s="3" t="n">
        <v>45155</v>
      </c>
      <c r="E104" s="4" t="n">
        <v>707.78</v>
      </c>
      <c r="F104">
        <f>Summary!$B$3-D104</f>
        <v/>
      </c>
      <c r="G104">
        <f>IF(D104&gt;Summary!$B$3,"Current",IF(F104&lt;=30,"0-30",IF(F104&lt;=60,"31-60",IF(F104&lt;=90,"61-90","90+"))))</f>
        <v/>
      </c>
    </row>
    <row r="105">
      <c r="A105" t="inlineStr">
        <is>
          <t>0009003768</t>
        </is>
      </c>
      <c r="B105" t="inlineStr">
        <is>
          <t>0000100475</t>
        </is>
      </c>
      <c r="C105" s="3" t="n">
        <v>45092</v>
      </c>
      <c r="D105" s="3" t="n">
        <v>45122</v>
      </c>
      <c r="E105" s="4" t="n">
        <v>285.76</v>
      </c>
      <c r="F105">
        <f>Summary!$B$3-D105</f>
        <v/>
      </c>
      <c r="G105">
        <f>IF(D105&gt;Summary!$B$3,"Current",IF(F105&lt;=30,"0-30",IF(F105&lt;=60,"31-60",IF(F105&lt;=90,"61-90","90+"))))</f>
        <v/>
      </c>
    </row>
    <row r="106">
      <c r="A106" t="inlineStr">
        <is>
          <t>0009003844</t>
        </is>
      </c>
      <c r="B106" t="inlineStr">
        <is>
          <t>0000100516</t>
        </is>
      </c>
      <c r="C106" s="3" t="n">
        <v>45099</v>
      </c>
      <c r="D106" s="3" t="n">
        <v>45129</v>
      </c>
      <c r="E106" s="4" t="n">
        <v>2027.38</v>
      </c>
      <c r="F106">
        <f>Summary!$B$3-D106</f>
        <v/>
      </c>
      <c r="G106">
        <f>IF(D106&gt;Summary!$B$3,"Current",IF(F106&lt;=30,"0-30",IF(F106&lt;=60,"31-60",IF(F106&lt;=90,"61-90","90+"))))</f>
        <v/>
      </c>
    </row>
    <row r="107">
      <c r="A107" t="inlineStr">
        <is>
          <t>0009003845</t>
        </is>
      </c>
      <c r="B107" t="inlineStr">
        <is>
          <t>0000100070</t>
        </is>
      </c>
      <c r="C107" s="3" t="n">
        <v>45095</v>
      </c>
      <c r="D107" s="3" t="n">
        <v>45125</v>
      </c>
      <c r="E107" s="4" t="n">
        <v>227.63</v>
      </c>
      <c r="F107">
        <f>Summary!$B$3-D107</f>
        <v/>
      </c>
      <c r="G107">
        <f>IF(D107&gt;Summary!$B$3,"Current",IF(F107&lt;=30,"0-30",IF(F107&lt;=60,"31-60",IF(F107&lt;=90,"61-90","90+"))))</f>
        <v/>
      </c>
    </row>
    <row r="108">
      <c r="A108" t="inlineStr">
        <is>
          <t>0009003879</t>
        </is>
      </c>
      <c r="B108" t="inlineStr">
        <is>
          <t>0000100189</t>
        </is>
      </c>
      <c r="C108" s="3" t="n">
        <v>45093</v>
      </c>
      <c r="D108" s="3" t="n">
        <v>45138</v>
      </c>
      <c r="E108" s="4" t="n">
        <v>2511.25</v>
      </c>
      <c r="F108">
        <f>Summary!$B$3-D108</f>
        <v/>
      </c>
      <c r="G108">
        <f>IF(D108&gt;Summary!$B$3,"Current",IF(F108&lt;=30,"0-30",IF(F108&lt;=60,"31-60",IF(F108&lt;=90,"61-90","90+"))))</f>
        <v/>
      </c>
    </row>
    <row r="109">
      <c r="A109" t="inlineStr">
        <is>
          <t>0009003947</t>
        </is>
      </c>
      <c r="B109" t="inlineStr">
        <is>
          <t>0000100344</t>
        </is>
      </c>
      <c r="C109" s="3" t="n">
        <v>45103</v>
      </c>
      <c r="D109" s="3" t="n">
        <v>45133</v>
      </c>
      <c r="E109" s="4" t="n">
        <v>964.71</v>
      </c>
      <c r="F109">
        <f>Summary!$B$3-D109</f>
        <v/>
      </c>
      <c r="G109">
        <f>IF(D109&gt;Summary!$B$3,"Current",IF(F109&lt;=30,"0-30",IF(F109&lt;=60,"31-60",IF(F109&lt;=90,"61-90","90+"))))</f>
        <v/>
      </c>
    </row>
    <row r="110">
      <c r="A110" t="inlineStr">
        <is>
          <t>0009003989</t>
        </is>
      </c>
      <c r="B110" t="inlineStr">
        <is>
          <t>0000100362</t>
        </is>
      </c>
      <c r="C110" s="3" t="n">
        <v>45107</v>
      </c>
      <c r="D110" s="3" t="n">
        <v>45137</v>
      </c>
      <c r="E110" s="4" t="n">
        <v>1215.42</v>
      </c>
      <c r="F110">
        <f>Summary!$B$3-D110</f>
        <v/>
      </c>
      <c r="G110">
        <f>IF(D110&gt;Summary!$B$3,"Current",IF(F110&lt;=30,"0-30",IF(F110&lt;=60,"31-60",IF(F110&lt;=90,"61-90","90+"))))</f>
        <v/>
      </c>
    </row>
    <row r="111">
      <c r="A111" t="inlineStr">
        <is>
          <t>0009004057</t>
        </is>
      </c>
      <c r="B111" t="inlineStr">
        <is>
          <t>0000100204</t>
        </is>
      </c>
      <c r="C111" s="3" t="n">
        <v>45104</v>
      </c>
      <c r="D111" s="3" t="n">
        <v>45134</v>
      </c>
      <c r="E111" s="4" t="n">
        <v>1322.73</v>
      </c>
      <c r="F111">
        <f>Summary!$B$3-D111</f>
        <v/>
      </c>
      <c r="G111">
        <f>IF(D111&gt;Summary!$B$3,"Current",IF(F111&lt;=30,"0-30",IF(F111&lt;=60,"31-60",IF(F111&lt;=90,"61-90","90+"))))</f>
        <v/>
      </c>
    </row>
    <row r="112">
      <c r="A112" t="inlineStr">
        <is>
          <t>0009004086</t>
        </is>
      </c>
      <c r="B112" t="inlineStr">
        <is>
          <t>0000100344</t>
        </is>
      </c>
      <c r="C112" s="3" t="n">
        <v>45103</v>
      </c>
      <c r="D112" s="3" t="n">
        <v>45133</v>
      </c>
      <c r="E112" s="4" t="n">
        <v>121.95</v>
      </c>
      <c r="F112">
        <f>Summary!$B$3-D112</f>
        <v/>
      </c>
      <c r="G112">
        <f>IF(D112&gt;Summary!$B$3,"Current",IF(F112&lt;=30,"0-30",IF(F112&lt;=60,"31-60",IF(F112&lt;=90,"61-90","90+"))))</f>
        <v/>
      </c>
    </row>
    <row r="113">
      <c r="A113" t="inlineStr">
        <is>
          <t>0009004107</t>
        </is>
      </c>
      <c r="B113" t="inlineStr">
        <is>
          <t>0000100196</t>
        </is>
      </c>
      <c r="C113" s="3" t="n">
        <v>45107</v>
      </c>
      <c r="D113" s="3" t="n">
        <v>45137</v>
      </c>
      <c r="E113" s="4" t="n">
        <v>2529.41</v>
      </c>
      <c r="F113">
        <f>Summary!$B$3-D113</f>
        <v/>
      </c>
      <c r="G113">
        <f>IF(D113&gt;Summary!$B$3,"Current",IF(F113&lt;=30,"0-30",IF(F113&lt;=60,"31-60",IF(F113&lt;=90,"61-90","90+"))))</f>
        <v/>
      </c>
    </row>
    <row r="114">
      <c r="A114" t="inlineStr">
        <is>
          <t>0009004118</t>
        </is>
      </c>
      <c r="B114" t="inlineStr">
        <is>
          <t>0000100227</t>
        </is>
      </c>
      <c r="C114" s="3" t="n">
        <v>45111</v>
      </c>
      <c r="D114" s="3" t="n">
        <v>45141</v>
      </c>
      <c r="E114" s="4" t="n">
        <v>1510.85</v>
      </c>
      <c r="F114">
        <f>Summary!$B$3-D114</f>
        <v/>
      </c>
      <c r="G114">
        <f>IF(D114&gt;Summary!$B$3,"Current",IF(F114&lt;=30,"0-30",IF(F114&lt;=60,"31-60",IF(F114&lt;=90,"61-90","90+"))))</f>
        <v/>
      </c>
    </row>
    <row r="115">
      <c r="A115" t="inlineStr">
        <is>
          <t>0009004157</t>
        </is>
      </c>
      <c r="B115" t="inlineStr">
        <is>
          <t>0000100484</t>
        </is>
      </c>
      <c r="C115" s="3" t="n">
        <v>45114</v>
      </c>
      <c r="D115" s="3" t="n">
        <v>45174</v>
      </c>
      <c r="E115" s="4" t="n">
        <v>320.7</v>
      </c>
      <c r="F115">
        <f>Summary!$B$3-D115</f>
        <v/>
      </c>
      <c r="G115">
        <f>IF(D115&gt;Summary!$B$3,"Current",IF(F115&lt;=30,"0-30",IF(F115&lt;=60,"31-60",IF(F115&lt;=90,"61-90","90+"))))</f>
        <v/>
      </c>
    </row>
    <row r="116">
      <c r="A116" t="inlineStr">
        <is>
          <t>0009004181</t>
        </is>
      </c>
      <c r="B116" t="inlineStr">
        <is>
          <t>0000100352</t>
        </is>
      </c>
      <c r="C116" s="3" t="n">
        <v>45112</v>
      </c>
      <c r="D116" s="3" t="n">
        <v>45142</v>
      </c>
      <c r="E116" s="4" t="n">
        <v>2204.26</v>
      </c>
      <c r="F116">
        <f>Summary!$B$3-D116</f>
        <v/>
      </c>
      <c r="G116">
        <f>IF(D116&gt;Summary!$B$3,"Current",IF(F116&lt;=30,"0-30",IF(F116&lt;=60,"31-60",IF(F116&lt;=90,"61-90","90+"))))</f>
        <v/>
      </c>
    </row>
    <row r="117">
      <c r="A117" t="inlineStr">
        <is>
          <t>0009004231</t>
        </is>
      </c>
      <c r="B117" t="inlineStr">
        <is>
          <t>0000100590</t>
        </is>
      </c>
      <c r="C117" s="3" t="n">
        <v>45118</v>
      </c>
      <c r="D117" s="3" t="n">
        <v>45148</v>
      </c>
      <c r="E117" s="4" t="n">
        <v>307.17</v>
      </c>
      <c r="F117">
        <f>Summary!$B$3-D117</f>
        <v/>
      </c>
      <c r="G117">
        <f>IF(D117&gt;Summary!$B$3,"Current",IF(F117&lt;=30,"0-30",IF(F117&lt;=60,"31-60",IF(F117&lt;=90,"61-90","90+"))))</f>
        <v/>
      </c>
    </row>
    <row r="118">
      <c r="A118" t="inlineStr">
        <is>
          <t>0009004266</t>
        </is>
      </c>
      <c r="B118" t="inlineStr">
        <is>
          <t>0000100513</t>
        </is>
      </c>
      <c r="C118" s="3" t="n">
        <v>45116</v>
      </c>
      <c r="D118" s="3" t="n">
        <v>45176</v>
      </c>
      <c r="E118" s="4" t="n">
        <v>5905.68</v>
      </c>
      <c r="F118">
        <f>Summary!$B$3-D118</f>
        <v/>
      </c>
      <c r="G118">
        <f>IF(D118&gt;Summary!$B$3,"Current",IF(F118&lt;=30,"0-30",IF(F118&lt;=60,"31-60",IF(F118&lt;=90,"61-90","90+"))))</f>
        <v/>
      </c>
    </row>
    <row r="119">
      <c r="A119" t="inlineStr">
        <is>
          <t>0009004274</t>
        </is>
      </c>
      <c r="B119" t="inlineStr">
        <is>
          <t>0000100453</t>
        </is>
      </c>
      <c r="C119" s="3" t="n">
        <v>45119</v>
      </c>
      <c r="D119" s="3" t="n">
        <v>45149</v>
      </c>
      <c r="E119" s="4" t="n">
        <v>309.68</v>
      </c>
      <c r="F119">
        <f>Summary!$B$3-D119</f>
        <v/>
      </c>
      <c r="G119">
        <f>IF(D119&gt;Summary!$B$3,"Current",IF(F119&lt;=30,"0-30",IF(F119&lt;=60,"31-60",IF(F119&lt;=90,"61-90","90+"))))</f>
        <v/>
      </c>
    </row>
    <row r="120">
      <c r="A120" t="inlineStr">
        <is>
          <t>0009004488</t>
        </is>
      </c>
      <c r="B120" t="inlineStr">
        <is>
          <t>0000100450</t>
        </is>
      </c>
      <c r="C120" s="3" t="n">
        <v>45127</v>
      </c>
      <c r="D120" s="3" t="n">
        <v>45172</v>
      </c>
      <c r="E120" s="4" t="n">
        <v>290.88</v>
      </c>
      <c r="F120">
        <f>Summary!$B$3-D120</f>
        <v/>
      </c>
      <c r="G120">
        <f>IF(D120&gt;Summary!$B$3,"Current",IF(F120&lt;=30,"0-30",IF(F120&lt;=60,"31-60",IF(F120&lt;=90,"61-90","90+"))))</f>
        <v/>
      </c>
    </row>
    <row r="121">
      <c r="A121" t="inlineStr">
        <is>
          <t>0009004496</t>
        </is>
      </c>
      <c r="B121" t="inlineStr">
        <is>
          <t>0000100116</t>
        </is>
      </c>
      <c r="C121" s="3" t="n">
        <v>45122</v>
      </c>
      <c r="D121" s="3" t="n">
        <v>45167</v>
      </c>
      <c r="E121" s="4" t="n">
        <v>766.15</v>
      </c>
      <c r="F121">
        <f>Summary!$B$3-D121</f>
        <v/>
      </c>
      <c r="G121">
        <f>IF(D121&gt;Summary!$B$3,"Current",IF(F121&lt;=30,"0-30",IF(F121&lt;=60,"31-60",IF(F121&lt;=90,"61-90","90+"))))</f>
        <v/>
      </c>
    </row>
    <row r="122">
      <c r="A122" t="inlineStr">
        <is>
          <t>0009004557</t>
        </is>
      </c>
      <c r="B122" t="inlineStr">
        <is>
          <t>0000100406</t>
        </is>
      </c>
      <c r="C122" s="3" t="n">
        <v>45126</v>
      </c>
      <c r="D122" s="3" t="n">
        <v>45186</v>
      </c>
      <c r="E122" s="4" t="n">
        <v>751.0700000000001</v>
      </c>
      <c r="F122">
        <f>Summary!$B$3-D122</f>
        <v/>
      </c>
      <c r="G122">
        <f>IF(D122&gt;Summary!$B$3,"Current",IF(F122&lt;=30,"0-30",IF(F122&lt;=60,"31-60",IF(F122&lt;=90,"61-90","90+"))))</f>
        <v/>
      </c>
    </row>
    <row r="123">
      <c r="A123" t="inlineStr">
        <is>
          <t>0009004572</t>
        </is>
      </c>
      <c r="B123" t="inlineStr">
        <is>
          <t>0000100300</t>
        </is>
      </c>
      <c r="C123" s="3" t="n">
        <v>45127</v>
      </c>
      <c r="D123" s="3" t="n">
        <v>45157</v>
      </c>
      <c r="E123" s="4" t="n">
        <v>2929.42</v>
      </c>
      <c r="F123">
        <f>Summary!$B$3-D123</f>
        <v/>
      </c>
      <c r="G123">
        <f>IF(D123&gt;Summary!$B$3,"Current",IF(F123&lt;=30,"0-30",IF(F123&lt;=60,"31-60",IF(F123&lt;=90,"61-90","90+"))))</f>
        <v/>
      </c>
    </row>
    <row r="124">
      <c r="A124" t="inlineStr">
        <is>
          <t>0009004652</t>
        </is>
      </c>
      <c r="B124" t="inlineStr">
        <is>
          <t>0000100400</t>
        </is>
      </c>
      <c r="C124" s="3" t="n">
        <v>45133</v>
      </c>
      <c r="D124" s="3" t="n">
        <v>45163</v>
      </c>
      <c r="E124" s="4" t="n">
        <v>804.58</v>
      </c>
      <c r="F124">
        <f>Summary!$B$3-D124</f>
        <v/>
      </c>
      <c r="G124">
        <f>IF(D124&gt;Summary!$B$3,"Current",IF(F124&lt;=30,"0-30",IF(F124&lt;=60,"31-60",IF(F124&lt;=90,"61-90","90+"))))</f>
        <v/>
      </c>
    </row>
    <row r="125">
      <c r="A125" t="inlineStr">
        <is>
          <t>0009004663</t>
        </is>
      </c>
      <c r="B125" t="inlineStr">
        <is>
          <t>0000100355</t>
        </is>
      </c>
      <c r="C125" s="3" t="n">
        <v>45139</v>
      </c>
      <c r="D125" s="3" t="n">
        <v>45199</v>
      </c>
      <c r="E125" s="4" t="n">
        <v>556.36</v>
      </c>
      <c r="F125">
        <f>Summary!$B$3-D125</f>
        <v/>
      </c>
      <c r="G125">
        <f>IF(D125&gt;Summary!$B$3,"Current",IF(F125&lt;=30,"0-30",IF(F125&lt;=60,"31-60",IF(F125&lt;=90,"61-90","90+"))))</f>
        <v/>
      </c>
    </row>
    <row r="126">
      <c r="A126" t="inlineStr">
        <is>
          <t>0009004711</t>
        </is>
      </c>
      <c r="B126" t="inlineStr">
        <is>
          <t>0000100340</t>
        </is>
      </c>
      <c r="C126" s="3" t="n">
        <v>45132</v>
      </c>
      <c r="D126" s="3" t="n">
        <v>45162</v>
      </c>
      <c r="E126" s="4" t="n">
        <v>172.88</v>
      </c>
      <c r="F126">
        <f>Summary!$B$3-D126</f>
        <v/>
      </c>
      <c r="G126">
        <f>IF(D126&gt;Summary!$B$3,"Current",IF(F126&lt;=30,"0-30",IF(F126&lt;=60,"31-60",IF(F126&lt;=90,"61-90","90+"))))</f>
        <v/>
      </c>
    </row>
    <row r="127">
      <c r="A127" t="inlineStr">
        <is>
          <t>0009004766</t>
        </is>
      </c>
      <c r="B127" t="inlineStr">
        <is>
          <t>0000100269</t>
        </is>
      </c>
      <c r="C127" s="3" t="n">
        <v>45141</v>
      </c>
      <c r="D127" s="3" t="n">
        <v>45171</v>
      </c>
      <c r="E127" s="4" t="n">
        <v>394.32</v>
      </c>
      <c r="F127">
        <f>Summary!$B$3-D127</f>
        <v/>
      </c>
      <c r="G127">
        <f>IF(D127&gt;Summary!$B$3,"Current",IF(F127&lt;=30,"0-30",IF(F127&lt;=60,"31-60",IF(F127&lt;=90,"61-90","90+"))))</f>
        <v/>
      </c>
    </row>
    <row r="128">
      <c r="A128" t="inlineStr">
        <is>
          <t>0009004790</t>
        </is>
      </c>
      <c r="B128" t="inlineStr">
        <is>
          <t>0000100043</t>
        </is>
      </c>
      <c r="C128" s="3" t="n">
        <v>45138</v>
      </c>
      <c r="D128" s="3" t="n">
        <v>45168</v>
      </c>
      <c r="E128" s="4" t="n">
        <v>557.97</v>
      </c>
      <c r="F128">
        <f>Summary!$B$3-D128</f>
        <v/>
      </c>
      <c r="G128">
        <f>IF(D128&gt;Summary!$B$3,"Current",IF(F128&lt;=30,"0-30",IF(F128&lt;=60,"31-60",IF(F128&lt;=90,"61-90","90+"))))</f>
        <v/>
      </c>
    </row>
    <row r="129">
      <c r="A129" t="inlineStr">
        <is>
          <t>0009004814</t>
        </is>
      </c>
      <c r="B129" t="inlineStr">
        <is>
          <t>0000100064</t>
        </is>
      </c>
      <c r="C129" s="3" t="n">
        <v>45137</v>
      </c>
      <c r="D129" s="3" t="n">
        <v>45167</v>
      </c>
      <c r="E129" s="4" t="n">
        <v>733.72</v>
      </c>
      <c r="F129">
        <f>Summary!$B$3-D129</f>
        <v/>
      </c>
      <c r="G129">
        <f>IF(D129&gt;Summary!$B$3,"Current",IF(F129&lt;=30,"0-30",IF(F129&lt;=60,"31-60",IF(F129&lt;=90,"61-90","90+"))))</f>
        <v/>
      </c>
    </row>
    <row r="130">
      <c r="A130" t="inlineStr">
        <is>
          <t>0009004868</t>
        </is>
      </c>
      <c r="B130" t="inlineStr">
        <is>
          <t>0000100390</t>
        </is>
      </c>
      <c r="C130" s="3" t="n">
        <v>45146</v>
      </c>
      <c r="D130" s="3" t="n">
        <v>45191</v>
      </c>
      <c r="E130" s="4" t="n">
        <v>688.98</v>
      </c>
      <c r="F130">
        <f>Summary!$B$3-D130</f>
        <v/>
      </c>
      <c r="G130">
        <f>IF(D130&gt;Summary!$B$3,"Current",IF(F130&lt;=30,"0-30",IF(F130&lt;=60,"31-60",IF(F130&lt;=90,"61-90","90+"))))</f>
        <v/>
      </c>
    </row>
    <row r="131">
      <c r="A131" t="inlineStr">
        <is>
          <t>0009004876</t>
        </is>
      </c>
      <c r="B131" t="inlineStr">
        <is>
          <t>0000100274</t>
        </is>
      </c>
      <c r="C131" s="3" t="n">
        <v>45145</v>
      </c>
      <c r="D131" s="3" t="n">
        <v>45190</v>
      </c>
      <c r="E131" s="4" t="n">
        <v>51.33</v>
      </c>
      <c r="F131">
        <f>Summary!$B$3-D131</f>
        <v/>
      </c>
      <c r="G131">
        <f>IF(D131&gt;Summary!$B$3,"Current",IF(F131&lt;=30,"0-30",IF(F131&lt;=60,"31-60",IF(F131&lt;=90,"61-90","90+"))))</f>
        <v/>
      </c>
    </row>
    <row r="132">
      <c r="A132" t="inlineStr">
        <is>
          <t>0009004885</t>
        </is>
      </c>
      <c r="B132" t="inlineStr">
        <is>
          <t>0000100210</t>
        </is>
      </c>
      <c r="C132" s="3" t="n">
        <v>45140</v>
      </c>
      <c r="D132" s="3" t="n">
        <v>45170</v>
      </c>
      <c r="E132" s="4" t="n">
        <v>609.84</v>
      </c>
      <c r="F132">
        <f>Summary!$B$3-D132</f>
        <v/>
      </c>
      <c r="G132">
        <f>IF(D132&gt;Summary!$B$3,"Current",IF(F132&lt;=30,"0-30",IF(F132&lt;=60,"31-60",IF(F132&lt;=90,"61-90","90+"))))</f>
        <v/>
      </c>
    </row>
    <row r="133">
      <c r="A133" t="inlineStr">
        <is>
          <t>0009004917</t>
        </is>
      </c>
      <c r="B133" t="inlineStr">
        <is>
          <t>0000100345</t>
        </is>
      </c>
      <c r="C133" s="3" t="n">
        <v>45147</v>
      </c>
      <c r="D133" s="3" t="n">
        <v>45177</v>
      </c>
      <c r="E133" s="4" t="n">
        <v>669.3</v>
      </c>
      <c r="F133">
        <f>Summary!$B$3-D133</f>
        <v/>
      </c>
      <c r="G133">
        <f>IF(D133&gt;Summary!$B$3,"Current",IF(F133&lt;=30,"0-30",IF(F133&lt;=60,"31-60",IF(F133&lt;=90,"61-90","90+"))))</f>
        <v/>
      </c>
    </row>
    <row r="134">
      <c r="A134" t="inlineStr">
        <is>
          <t>0009004957</t>
        </is>
      </c>
      <c r="B134" t="inlineStr">
        <is>
          <t>0000100543</t>
        </is>
      </c>
      <c r="C134" s="3" t="n">
        <v>45152</v>
      </c>
      <c r="D134" s="3" t="n">
        <v>45212</v>
      </c>
      <c r="E134" s="4" t="n">
        <v>208.47</v>
      </c>
      <c r="F134">
        <f>Summary!$B$3-D134</f>
        <v/>
      </c>
      <c r="G134">
        <f>IF(D134&gt;Summary!$B$3,"Current",IF(F134&lt;=30,"0-30",IF(F134&lt;=60,"31-60",IF(F134&lt;=90,"61-90","90+"))))</f>
        <v/>
      </c>
    </row>
    <row r="135">
      <c r="A135" t="inlineStr">
        <is>
          <t>0009005010</t>
        </is>
      </c>
      <c r="B135" t="inlineStr">
        <is>
          <t>0000100522</t>
        </is>
      </c>
      <c r="C135" s="3" t="n">
        <v>45143</v>
      </c>
      <c r="D135" s="3" t="n">
        <v>45203</v>
      </c>
      <c r="E135" s="4" t="n">
        <v>2002.45</v>
      </c>
      <c r="F135">
        <f>Summary!$B$3-D135</f>
        <v/>
      </c>
      <c r="G135">
        <f>IF(D135&gt;Summary!$B$3,"Current",IF(F135&lt;=30,"0-30",IF(F135&lt;=60,"31-60",IF(F135&lt;=90,"61-90","90+"))))</f>
        <v/>
      </c>
    </row>
    <row r="136">
      <c r="A136" t="inlineStr">
        <is>
          <t>0009005103</t>
        </is>
      </c>
      <c r="B136" t="inlineStr">
        <is>
          <t>0000100394</t>
        </is>
      </c>
      <c r="C136" s="3" t="n">
        <v>45154</v>
      </c>
      <c r="D136" s="3" t="n">
        <v>45214</v>
      </c>
      <c r="E136" s="4" t="n">
        <v>853.23</v>
      </c>
      <c r="F136">
        <f>Summary!$B$3-D136</f>
        <v/>
      </c>
      <c r="G136">
        <f>IF(D136&gt;Summary!$B$3,"Current",IF(F136&lt;=30,"0-30",IF(F136&lt;=60,"31-60",IF(F136&lt;=90,"61-90","90+"))))</f>
        <v/>
      </c>
    </row>
    <row r="137">
      <c r="A137" t="inlineStr">
        <is>
          <t>0009005144</t>
        </is>
      </c>
      <c r="B137" t="inlineStr">
        <is>
          <t>0000100477</t>
        </is>
      </c>
      <c r="C137" s="3" t="n">
        <v>45159</v>
      </c>
      <c r="D137" s="3" t="n">
        <v>45189</v>
      </c>
      <c r="E137" s="4" t="n">
        <v>387.99</v>
      </c>
      <c r="F137">
        <f>Summary!$B$3-D137</f>
        <v/>
      </c>
      <c r="G137">
        <f>IF(D137&gt;Summary!$B$3,"Current",IF(F137&lt;=30,"0-30",IF(F137&lt;=60,"31-60",IF(F137&lt;=90,"61-90","90+"))))</f>
        <v/>
      </c>
    </row>
    <row r="138">
      <c r="A138" t="inlineStr">
        <is>
          <t>0009005162</t>
        </is>
      </c>
      <c r="B138" t="inlineStr">
        <is>
          <t>0000100052</t>
        </is>
      </c>
      <c r="C138" s="3" t="n">
        <v>45160</v>
      </c>
      <c r="D138" s="3" t="n">
        <v>45205</v>
      </c>
      <c r="E138" s="4" t="n">
        <v>726.88</v>
      </c>
      <c r="F138">
        <f>Summary!$B$3-D138</f>
        <v/>
      </c>
      <c r="G138">
        <f>IF(D138&gt;Summary!$B$3,"Current",IF(F138&lt;=30,"0-30",IF(F138&lt;=60,"31-60",IF(F138&lt;=90,"61-90","90+"))))</f>
        <v/>
      </c>
    </row>
    <row r="139">
      <c r="A139" t="inlineStr">
        <is>
          <t>0009005163</t>
        </is>
      </c>
      <c r="B139" t="inlineStr">
        <is>
          <t>0000100206</t>
        </is>
      </c>
      <c r="C139" s="3" t="n">
        <v>45151</v>
      </c>
      <c r="D139" s="3" t="n">
        <v>45196</v>
      </c>
      <c r="E139" s="4" t="n">
        <v>291.69</v>
      </c>
      <c r="F139">
        <f>Summary!$B$3-D139</f>
        <v/>
      </c>
      <c r="G139">
        <f>IF(D139&gt;Summary!$B$3,"Current",IF(F139&lt;=30,"0-30",IF(F139&lt;=60,"31-60",IF(F139&lt;=90,"61-90","90+"))))</f>
        <v/>
      </c>
    </row>
    <row r="140">
      <c r="A140" t="inlineStr">
        <is>
          <t>0009005193</t>
        </is>
      </c>
      <c r="B140" t="inlineStr">
        <is>
          <t>0000100550</t>
        </is>
      </c>
      <c r="C140" s="3" t="n">
        <v>45161</v>
      </c>
      <c r="D140" s="3" t="n">
        <v>45191</v>
      </c>
      <c r="E140" s="4" t="n">
        <v>715.4400000000001</v>
      </c>
      <c r="F140">
        <f>Summary!$B$3-D140</f>
        <v/>
      </c>
      <c r="G140">
        <f>IF(D140&gt;Summary!$B$3,"Current",IF(F140&lt;=30,"0-30",IF(F140&lt;=60,"31-60",IF(F140&lt;=90,"61-90","90+"))))</f>
        <v/>
      </c>
    </row>
    <row r="141">
      <c r="A141" t="inlineStr">
        <is>
          <t>0009005212</t>
        </is>
      </c>
      <c r="B141" t="inlineStr">
        <is>
          <t>0000100219</t>
        </is>
      </c>
      <c r="C141" s="3" t="n">
        <v>45158</v>
      </c>
      <c r="D141" s="3" t="n">
        <v>45188</v>
      </c>
      <c r="E141" s="4" t="n">
        <v>454.7</v>
      </c>
      <c r="F141">
        <f>Summary!$B$3-D141</f>
        <v/>
      </c>
      <c r="G141">
        <f>IF(D141&gt;Summary!$B$3,"Current",IF(F141&lt;=30,"0-30",IF(F141&lt;=60,"31-60",IF(F141&lt;=90,"61-90","90+"))))</f>
        <v/>
      </c>
    </row>
    <row r="142">
      <c r="A142" t="inlineStr">
        <is>
          <t>0009005256</t>
        </is>
      </c>
      <c r="B142" t="inlineStr">
        <is>
          <t>0000100227</t>
        </is>
      </c>
      <c r="C142" s="3" t="n">
        <v>45165</v>
      </c>
      <c r="D142" s="3" t="n">
        <v>45195</v>
      </c>
      <c r="E142" s="4" t="n">
        <v>427.27</v>
      </c>
      <c r="F142">
        <f>Summary!$B$3-D142</f>
        <v/>
      </c>
      <c r="G142">
        <f>IF(D142&gt;Summary!$B$3,"Current",IF(F142&lt;=30,"0-30",IF(F142&lt;=60,"31-60",IF(F142&lt;=90,"61-90","90+"))))</f>
        <v/>
      </c>
    </row>
    <row r="143">
      <c r="A143" t="inlineStr">
        <is>
          <t>0009005258</t>
        </is>
      </c>
      <c r="B143" t="inlineStr">
        <is>
          <t>0000100357</t>
        </is>
      </c>
      <c r="C143" s="3" t="n">
        <v>45156</v>
      </c>
      <c r="D143" s="3" t="n">
        <v>45201</v>
      </c>
      <c r="E143" s="4" t="n">
        <v>257.7</v>
      </c>
      <c r="F143">
        <f>Summary!$B$3-D143</f>
        <v/>
      </c>
      <c r="G143">
        <f>IF(D143&gt;Summary!$B$3,"Current",IF(F143&lt;=30,"0-30",IF(F143&lt;=60,"31-60",IF(F143&lt;=90,"61-90","90+"))))</f>
        <v/>
      </c>
    </row>
    <row r="144">
      <c r="A144" t="inlineStr">
        <is>
          <t>0009005277</t>
        </is>
      </c>
      <c r="B144" t="inlineStr">
        <is>
          <t>0000100417</t>
        </is>
      </c>
      <c r="C144" s="3" t="n">
        <v>45172</v>
      </c>
      <c r="D144" s="3" t="n">
        <v>45232</v>
      </c>
      <c r="E144" s="4" t="n">
        <v>580.46</v>
      </c>
      <c r="F144">
        <f>Summary!$B$3-D144</f>
        <v/>
      </c>
      <c r="G144">
        <f>IF(D144&gt;Summary!$B$3,"Current",IF(F144&lt;=30,"0-30",IF(F144&lt;=60,"31-60",IF(F144&lt;=90,"61-90","90+"))))</f>
        <v/>
      </c>
    </row>
    <row r="145">
      <c r="A145" t="inlineStr">
        <is>
          <t>0009005310</t>
        </is>
      </c>
      <c r="B145" t="inlineStr">
        <is>
          <t>0000100111</t>
        </is>
      </c>
      <c r="C145" s="3" t="n">
        <v>45166</v>
      </c>
      <c r="D145" s="3" t="n">
        <v>45211</v>
      </c>
      <c r="E145" s="4" t="n">
        <v>1235.8</v>
      </c>
      <c r="F145">
        <f>Summary!$B$3-D145</f>
        <v/>
      </c>
      <c r="G145">
        <f>IF(D145&gt;Summary!$B$3,"Current",IF(F145&lt;=30,"0-30",IF(F145&lt;=60,"31-60",IF(F145&lt;=90,"61-90","90+"))))</f>
        <v/>
      </c>
    </row>
    <row r="146">
      <c r="A146" t="inlineStr">
        <is>
          <t>0009005327</t>
        </is>
      </c>
      <c r="B146" t="inlineStr">
        <is>
          <t>0000100543</t>
        </is>
      </c>
      <c r="C146" s="3" t="n">
        <v>45161</v>
      </c>
      <c r="D146" s="3" t="n">
        <v>45221</v>
      </c>
      <c r="E146" s="4" t="n">
        <v>1061.71</v>
      </c>
      <c r="F146">
        <f>Summary!$B$3-D146</f>
        <v/>
      </c>
      <c r="G146">
        <f>IF(D146&gt;Summary!$B$3,"Current",IF(F146&lt;=30,"0-30",IF(F146&lt;=60,"31-60",IF(F146&lt;=90,"61-90","90+"))))</f>
        <v/>
      </c>
    </row>
    <row r="147">
      <c r="A147" t="inlineStr">
        <is>
          <t>0009005366</t>
        </is>
      </c>
      <c r="B147" t="inlineStr">
        <is>
          <t>0000100558</t>
        </is>
      </c>
      <c r="C147" s="3" t="n">
        <v>45165</v>
      </c>
      <c r="D147" s="3" t="n">
        <v>45195</v>
      </c>
      <c r="E147" s="4" t="n">
        <v>406.4</v>
      </c>
      <c r="F147">
        <f>Summary!$B$3-D147</f>
        <v/>
      </c>
      <c r="G147">
        <f>IF(D147&gt;Summary!$B$3,"Current",IF(F147&lt;=30,"0-30",IF(F147&lt;=60,"31-60",IF(F147&lt;=90,"61-90","90+"))))</f>
        <v/>
      </c>
    </row>
    <row r="148">
      <c r="A148" t="inlineStr">
        <is>
          <t>0009005538</t>
        </is>
      </c>
      <c r="B148" t="inlineStr">
        <is>
          <t>0000100552</t>
        </is>
      </c>
      <c r="C148" s="3" t="n">
        <v>45176</v>
      </c>
      <c r="D148" s="3" t="n">
        <v>45206</v>
      </c>
      <c r="E148" s="4" t="n">
        <v>1128.44</v>
      </c>
      <c r="F148">
        <f>Summary!$B$3-D148</f>
        <v/>
      </c>
      <c r="G148">
        <f>IF(D148&gt;Summary!$B$3,"Current",IF(F148&lt;=30,"0-30",IF(F148&lt;=60,"31-60",IF(F148&lt;=90,"61-90","90+"))))</f>
        <v/>
      </c>
    </row>
    <row r="149">
      <c r="A149" t="inlineStr">
        <is>
          <t>0009005601</t>
        </is>
      </c>
      <c r="B149" t="inlineStr">
        <is>
          <t>0000100249</t>
        </is>
      </c>
      <c r="C149" s="3" t="n">
        <v>45178</v>
      </c>
      <c r="D149" s="3" t="n">
        <v>45238</v>
      </c>
      <c r="E149" s="4" t="n">
        <v>692.66</v>
      </c>
      <c r="F149">
        <f>Summary!$B$3-D149</f>
        <v/>
      </c>
      <c r="G149">
        <f>IF(D149&gt;Summary!$B$3,"Current",IF(F149&lt;=30,"0-30",IF(F149&lt;=60,"31-60",IF(F149&lt;=90,"61-90","90+"))))</f>
        <v/>
      </c>
    </row>
    <row r="150">
      <c r="A150" t="inlineStr">
        <is>
          <t>0009005627</t>
        </is>
      </c>
      <c r="B150" t="inlineStr">
        <is>
          <t>0000100064</t>
        </is>
      </c>
      <c r="C150" s="3" t="n">
        <v>45173</v>
      </c>
      <c r="D150" s="3" t="n">
        <v>45203</v>
      </c>
      <c r="E150" s="4" t="n">
        <v>141.13</v>
      </c>
      <c r="F150">
        <f>Summary!$B$3-D150</f>
        <v/>
      </c>
      <c r="G150">
        <f>IF(D150&gt;Summary!$B$3,"Current",IF(F150&lt;=30,"0-30",IF(F150&lt;=60,"31-60",IF(F150&lt;=90,"61-90","90+"))))</f>
        <v/>
      </c>
    </row>
    <row r="151">
      <c r="A151" t="inlineStr">
        <is>
          <t>0009005631</t>
        </is>
      </c>
      <c r="B151" t="inlineStr">
        <is>
          <t>0000100018</t>
        </is>
      </c>
      <c r="C151" s="3" t="n">
        <v>45179</v>
      </c>
      <c r="D151" s="3" t="n">
        <v>45209</v>
      </c>
      <c r="E151" s="4" t="n">
        <v>688.62</v>
      </c>
      <c r="F151">
        <f>Summary!$B$3-D151</f>
        <v/>
      </c>
      <c r="G151">
        <f>IF(D151&gt;Summary!$B$3,"Current",IF(F151&lt;=30,"0-30",IF(F151&lt;=60,"31-60",IF(F151&lt;=90,"61-90","90+"))))</f>
        <v/>
      </c>
    </row>
    <row r="152">
      <c r="A152" t="inlineStr">
        <is>
          <t>0009005639</t>
        </is>
      </c>
      <c r="B152" t="inlineStr">
        <is>
          <t>0000100499</t>
        </is>
      </c>
      <c r="C152" s="3" t="n">
        <v>45177</v>
      </c>
      <c r="D152" s="3" t="n">
        <v>45207</v>
      </c>
      <c r="E152" s="4" t="n">
        <v>3667.82</v>
      </c>
      <c r="F152">
        <f>Summary!$B$3-D152</f>
        <v/>
      </c>
      <c r="G152">
        <f>IF(D152&gt;Summary!$B$3,"Current",IF(F152&lt;=30,"0-30",IF(F152&lt;=60,"31-60",IF(F152&lt;=90,"61-90","90+"))))</f>
        <v/>
      </c>
    </row>
    <row r="153">
      <c r="A153" t="inlineStr">
        <is>
          <t>0009005705</t>
        </is>
      </c>
      <c r="B153" t="inlineStr">
        <is>
          <t>0000100529</t>
        </is>
      </c>
      <c r="C153" s="3" t="n">
        <v>45183</v>
      </c>
      <c r="D153" s="3" t="n">
        <v>45243</v>
      </c>
      <c r="E153" s="4" t="n">
        <v>187.77</v>
      </c>
      <c r="F153">
        <f>Summary!$B$3-D153</f>
        <v/>
      </c>
      <c r="G153">
        <f>IF(D153&gt;Summary!$B$3,"Current",IF(F153&lt;=30,"0-30",IF(F153&lt;=60,"31-60",IF(F153&lt;=90,"61-90","90+"))))</f>
        <v/>
      </c>
    </row>
    <row r="154">
      <c r="A154" t="inlineStr">
        <is>
          <t>0009005706</t>
        </is>
      </c>
      <c r="B154" t="inlineStr">
        <is>
          <t>0000100558</t>
        </is>
      </c>
      <c r="C154" s="3" t="n">
        <v>45183</v>
      </c>
      <c r="D154" s="3" t="n">
        <v>45213</v>
      </c>
      <c r="E154" s="4" t="n">
        <v>352.72</v>
      </c>
      <c r="F154">
        <f>Summary!$B$3-D154</f>
        <v/>
      </c>
      <c r="G154">
        <f>IF(D154&gt;Summary!$B$3,"Current",IF(F154&lt;=30,"0-30",IF(F154&lt;=60,"31-60",IF(F154&lt;=90,"61-90","90+"))))</f>
        <v/>
      </c>
    </row>
    <row r="155">
      <c r="A155" t="inlineStr">
        <is>
          <t>0009005720</t>
        </is>
      </c>
      <c r="B155" t="inlineStr">
        <is>
          <t>0000100035</t>
        </is>
      </c>
      <c r="C155" s="3" t="n">
        <v>45186</v>
      </c>
      <c r="D155" s="3" t="n">
        <v>45216</v>
      </c>
      <c r="E155" s="4" t="n">
        <v>976.02</v>
      </c>
      <c r="F155">
        <f>Summary!$B$3-D155</f>
        <v/>
      </c>
      <c r="G155">
        <f>IF(D155&gt;Summary!$B$3,"Current",IF(F155&lt;=30,"0-30",IF(F155&lt;=60,"31-60",IF(F155&lt;=90,"61-90","90+"))))</f>
        <v/>
      </c>
    </row>
    <row r="156">
      <c r="A156" t="inlineStr">
        <is>
          <t>0009005745</t>
        </is>
      </c>
      <c r="B156" t="inlineStr">
        <is>
          <t>0000100043</t>
        </is>
      </c>
      <c r="C156" s="3" t="n">
        <v>45181</v>
      </c>
      <c r="D156" s="3" t="n">
        <v>45211</v>
      </c>
      <c r="E156" s="4" t="n">
        <v>1471.3</v>
      </c>
      <c r="F156">
        <f>Summary!$B$3-D156</f>
        <v/>
      </c>
      <c r="G156">
        <f>IF(D156&gt;Summary!$B$3,"Current",IF(F156&lt;=30,"0-30",IF(F156&lt;=60,"31-60",IF(F156&lt;=90,"61-90","90+"))))</f>
        <v/>
      </c>
    </row>
    <row r="157">
      <c r="A157" t="inlineStr">
        <is>
          <t>0009005787</t>
        </is>
      </c>
      <c r="B157" t="inlineStr">
        <is>
          <t>0000100369</t>
        </is>
      </c>
      <c r="C157" s="3" t="n">
        <v>45179</v>
      </c>
      <c r="D157" s="3" t="n">
        <v>45209</v>
      </c>
      <c r="E157" s="4" t="n">
        <v>1605.2</v>
      </c>
      <c r="F157">
        <f>Summary!$B$3-D157</f>
        <v/>
      </c>
      <c r="G157">
        <f>IF(D157&gt;Summary!$B$3,"Current",IF(F157&lt;=30,"0-30",IF(F157&lt;=60,"31-60",IF(F157&lt;=90,"61-90","90+"))))</f>
        <v/>
      </c>
    </row>
    <row r="158">
      <c r="A158" t="inlineStr">
        <is>
          <t>0009005796</t>
        </is>
      </c>
      <c r="B158" t="inlineStr">
        <is>
          <t>0000100576</t>
        </is>
      </c>
      <c r="C158" s="3" t="n">
        <v>45192</v>
      </c>
      <c r="D158" s="3" t="n">
        <v>45222</v>
      </c>
      <c r="E158" s="4" t="n">
        <v>158.49</v>
      </c>
      <c r="F158">
        <f>Summary!$B$3-D158</f>
        <v/>
      </c>
      <c r="G158">
        <f>IF(D158&gt;Summary!$B$3,"Current",IF(F158&lt;=30,"0-30",IF(F158&lt;=60,"31-60",IF(F158&lt;=90,"61-90","90+"))))</f>
        <v/>
      </c>
    </row>
    <row r="159">
      <c r="A159" t="inlineStr">
        <is>
          <t>0009005812</t>
        </is>
      </c>
      <c r="B159" t="inlineStr">
        <is>
          <t>0000100408</t>
        </is>
      </c>
      <c r="C159" s="3" t="n">
        <v>45182</v>
      </c>
      <c r="D159" s="3" t="n">
        <v>45227</v>
      </c>
      <c r="E159" s="4" t="n">
        <v>1367.95</v>
      </c>
      <c r="F159">
        <f>Summary!$B$3-D159</f>
        <v/>
      </c>
      <c r="G159">
        <f>IF(D159&gt;Summary!$B$3,"Current",IF(F159&lt;=30,"0-30",IF(F159&lt;=60,"31-60",IF(F159&lt;=90,"61-90","90+"))))</f>
        <v/>
      </c>
    </row>
    <row r="160">
      <c r="A160" t="inlineStr">
        <is>
          <t>0009005839</t>
        </is>
      </c>
      <c r="B160" t="inlineStr">
        <is>
          <t>0000100115</t>
        </is>
      </c>
      <c r="C160" s="3" t="n">
        <v>45187</v>
      </c>
      <c r="D160" s="3" t="n">
        <v>45217</v>
      </c>
      <c r="E160" s="4" t="n">
        <v>240.48</v>
      </c>
      <c r="F160">
        <f>Summary!$B$3-D160</f>
        <v/>
      </c>
      <c r="G160">
        <f>IF(D160&gt;Summary!$B$3,"Current",IF(F160&lt;=30,"0-30",IF(F160&lt;=60,"31-60",IF(F160&lt;=90,"61-90","90+"))))</f>
        <v/>
      </c>
    </row>
    <row r="161">
      <c r="A161" t="inlineStr">
        <is>
          <t>0009005929</t>
        </is>
      </c>
      <c r="B161" t="inlineStr">
        <is>
          <t>0000100166</t>
        </is>
      </c>
      <c r="C161" s="3" t="n">
        <v>45185</v>
      </c>
      <c r="D161" s="3" t="n">
        <v>45215</v>
      </c>
      <c r="E161" s="4" t="n">
        <v>2390.93</v>
      </c>
      <c r="F161">
        <f>Summary!$B$3-D161</f>
        <v/>
      </c>
      <c r="G161">
        <f>IF(D161&gt;Summary!$B$3,"Current",IF(F161&lt;=30,"0-30",IF(F161&lt;=60,"31-60",IF(F161&lt;=90,"61-90","90+"))))</f>
        <v/>
      </c>
    </row>
    <row r="162">
      <c r="A162" t="inlineStr">
        <is>
          <t>0009005941</t>
        </is>
      </c>
      <c r="B162" t="inlineStr">
        <is>
          <t>0000100397</t>
        </is>
      </c>
      <c r="C162" s="3" t="n">
        <v>45188</v>
      </c>
      <c r="D162" s="3" t="n">
        <v>45218</v>
      </c>
      <c r="E162" s="4" t="n">
        <v>97.11</v>
      </c>
      <c r="F162">
        <f>Summary!$B$3-D162</f>
        <v/>
      </c>
      <c r="G162">
        <f>IF(D162&gt;Summary!$B$3,"Current",IF(F162&lt;=30,"0-30",IF(F162&lt;=60,"31-60",IF(F162&lt;=90,"61-90","90+"))))</f>
        <v/>
      </c>
    </row>
    <row r="163">
      <c r="A163" t="inlineStr">
        <is>
          <t>0009005943</t>
        </is>
      </c>
      <c r="B163" t="inlineStr">
        <is>
          <t>0000100169</t>
        </is>
      </c>
      <c r="C163" s="3" t="n">
        <v>45190</v>
      </c>
      <c r="D163" s="3" t="n">
        <v>45235</v>
      </c>
      <c r="E163" s="4" t="n">
        <v>275.7</v>
      </c>
      <c r="F163">
        <f>Summary!$B$3-D163</f>
        <v/>
      </c>
      <c r="G163">
        <f>IF(D163&gt;Summary!$B$3,"Current",IF(F163&lt;=30,"0-30",IF(F163&lt;=60,"31-60",IF(F163&lt;=90,"61-90","90+"))))</f>
        <v/>
      </c>
    </row>
    <row r="164">
      <c r="A164" t="inlineStr">
        <is>
          <t>0009005944</t>
        </is>
      </c>
      <c r="B164" t="inlineStr">
        <is>
          <t>0000100065</t>
        </is>
      </c>
      <c r="C164" s="3" t="n">
        <v>45193</v>
      </c>
      <c r="D164" s="3" t="n">
        <v>45238</v>
      </c>
      <c r="E164" s="4" t="n">
        <v>805.0700000000001</v>
      </c>
      <c r="F164">
        <f>Summary!$B$3-D164</f>
        <v/>
      </c>
      <c r="G164">
        <f>IF(D164&gt;Summary!$B$3,"Current",IF(F164&lt;=30,"0-30",IF(F164&lt;=60,"31-60",IF(F164&lt;=90,"61-90","90+"))))</f>
        <v/>
      </c>
    </row>
    <row r="165">
      <c r="A165" t="inlineStr">
        <is>
          <t>0009005977</t>
        </is>
      </c>
      <c r="B165" t="inlineStr">
        <is>
          <t>0000100169</t>
        </is>
      </c>
      <c r="C165" s="3" t="n">
        <v>45187</v>
      </c>
      <c r="D165" s="3" t="n">
        <v>45232</v>
      </c>
      <c r="E165" s="4" t="n">
        <v>4837.31</v>
      </c>
      <c r="F165">
        <f>Summary!$B$3-D165</f>
        <v/>
      </c>
      <c r="G165">
        <f>IF(D165&gt;Summary!$B$3,"Current",IF(F165&lt;=30,"0-30",IF(F165&lt;=60,"31-60",IF(F165&lt;=90,"61-90","90+"))))</f>
        <v/>
      </c>
    </row>
    <row r="166">
      <c r="A166" t="inlineStr">
        <is>
          <t>0009005984</t>
        </is>
      </c>
      <c r="B166" t="inlineStr">
        <is>
          <t>0000100456</t>
        </is>
      </c>
      <c r="C166" s="3" t="n">
        <v>45200</v>
      </c>
      <c r="D166" s="3" t="n">
        <v>45260</v>
      </c>
      <c r="E166" s="4" t="n">
        <v>279.56</v>
      </c>
      <c r="F166">
        <f>Summary!$B$3-D166</f>
        <v/>
      </c>
      <c r="G166">
        <f>IF(D166&gt;Summary!$B$3,"Current",IF(F166&lt;=30,"0-30",IF(F166&lt;=60,"31-60",IF(F166&lt;=90,"61-90","90+"))))</f>
        <v/>
      </c>
    </row>
    <row r="167">
      <c r="A167" t="inlineStr">
        <is>
          <t>0009005997</t>
        </is>
      </c>
      <c r="B167" t="inlineStr">
        <is>
          <t>0000100521</t>
        </is>
      </c>
      <c r="C167" s="3" t="n">
        <v>45191</v>
      </c>
      <c r="D167" s="3" t="n">
        <v>45221</v>
      </c>
      <c r="E167" s="4" t="n">
        <v>110.7</v>
      </c>
      <c r="F167">
        <f>Summary!$B$3-D167</f>
        <v/>
      </c>
      <c r="G167">
        <f>IF(D167&gt;Summary!$B$3,"Current",IF(F167&lt;=30,"0-30",IF(F167&lt;=60,"31-60",IF(F167&lt;=90,"61-90","90+"))))</f>
        <v/>
      </c>
    </row>
    <row r="168">
      <c r="A168" t="inlineStr">
        <is>
          <t>0009006008</t>
        </is>
      </c>
      <c r="B168" t="inlineStr">
        <is>
          <t>0000100412</t>
        </is>
      </c>
      <c r="C168" s="3" t="n">
        <v>45192</v>
      </c>
      <c r="D168" s="3" t="n">
        <v>45222</v>
      </c>
      <c r="E168" s="4" t="n">
        <v>2806.66</v>
      </c>
      <c r="F168">
        <f>Summary!$B$3-D168</f>
        <v/>
      </c>
      <c r="G168">
        <f>IF(D168&gt;Summary!$B$3,"Current",IF(F168&lt;=30,"0-30",IF(F168&lt;=60,"31-60",IF(F168&lt;=90,"61-90","90+"))))</f>
        <v/>
      </c>
    </row>
    <row r="169">
      <c r="A169" t="inlineStr">
        <is>
          <t>0009006070</t>
        </is>
      </c>
      <c r="B169" t="inlineStr">
        <is>
          <t>0000100382</t>
        </is>
      </c>
      <c r="C169" s="3" t="n">
        <v>45195</v>
      </c>
      <c r="D169" s="3" t="n">
        <v>45240</v>
      </c>
      <c r="E169" s="4" t="n">
        <v>2787.6</v>
      </c>
      <c r="F169">
        <f>Summary!$B$3-D169</f>
        <v/>
      </c>
      <c r="G169">
        <f>IF(D169&gt;Summary!$B$3,"Current",IF(F169&lt;=30,"0-30",IF(F169&lt;=60,"31-60",IF(F169&lt;=90,"61-90","90+"))))</f>
        <v/>
      </c>
    </row>
    <row r="170">
      <c r="A170" t="inlineStr">
        <is>
          <t>0009006103</t>
        </is>
      </c>
      <c r="B170" t="inlineStr">
        <is>
          <t>0000100202</t>
        </is>
      </c>
      <c r="C170" s="3" t="n">
        <v>45193</v>
      </c>
      <c r="D170" s="3" t="n">
        <v>45253</v>
      </c>
      <c r="E170" s="4" t="n">
        <v>800.22</v>
      </c>
      <c r="F170">
        <f>Summary!$B$3-D170</f>
        <v/>
      </c>
      <c r="G170">
        <f>IF(D170&gt;Summary!$B$3,"Current",IF(F170&lt;=30,"0-30",IF(F170&lt;=60,"31-60",IF(F170&lt;=90,"61-90","90+"))))</f>
        <v/>
      </c>
    </row>
    <row r="171">
      <c r="A171" t="inlineStr">
        <is>
          <t>0009006157</t>
        </is>
      </c>
      <c r="B171" t="inlineStr">
        <is>
          <t>0000100299</t>
        </is>
      </c>
      <c r="C171" s="3" t="n">
        <v>45201</v>
      </c>
      <c r="D171" s="3" t="n">
        <v>45246</v>
      </c>
      <c r="E171" s="4" t="n">
        <v>4123.3</v>
      </c>
      <c r="F171">
        <f>Summary!$B$3-D171</f>
        <v/>
      </c>
      <c r="G171">
        <f>IF(D171&gt;Summary!$B$3,"Current",IF(F171&lt;=30,"0-30",IF(F171&lt;=60,"31-60",IF(F171&lt;=90,"61-90","90+"))))</f>
        <v/>
      </c>
    </row>
    <row r="172">
      <c r="A172" t="inlineStr">
        <is>
          <t>0009006172</t>
        </is>
      </c>
      <c r="B172" t="inlineStr">
        <is>
          <t>0000100248</t>
        </is>
      </c>
      <c r="C172" s="3" t="n">
        <v>45201</v>
      </c>
      <c r="D172" s="3" t="n">
        <v>45231</v>
      </c>
      <c r="E172" s="4" t="n">
        <v>976.29</v>
      </c>
      <c r="F172">
        <f>Summary!$B$3-D172</f>
        <v/>
      </c>
      <c r="G172">
        <f>IF(D172&gt;Summary!$B$3,"Current",IF(F172&lt;=30,"0-30",IF(F172&lt;=60,"31-60",IF(F172&lt;=90,"61-90","90+"))))</f>
        <v/>
      </c>
    </row>
    <row r="173">
      <c r="A173" t="inlineStr">
        <is>
          <t>0009006178</t>
        </is>
      </c>
      <c r="B173" t="inlineStr">
        <is>
          <t>0000100525</t>
        </is>
      </c>
      <c r="C173" s="3" t="n">
        <v>45202</v>
      </c>
      <c r="D173" s="3" t="n">
        <v>45247</v>
      </c>
      <c r="E173" s="4" t="n">
        <v>177</v>
      </c>
      <c r="F173">
        <f>Summary!$B$3-D173</f>
        <v/>
      </c>
      <c r="G173">
        <f>IF(D173&gt;Summary!$B$3,"Current",IF(F173&lt;=30,"0-30",IF(F173&lt;=60,"31-60",IF(F173&lt;=90,"61-90","90+"))))</f>
        <v/>
      </c>
    </row>
    <row r="174">
      <c r="A174" t="inlineStr">
        <is>
          <t>0009006290</t>
        </is>
      </c>
      <c r="B174" t="inlineStr">
        <is>
          <t>0000100267</t>
        </is>
      </c>
      <c r="C174" s="3" t="n">
        <v>45205</v>
      </c>
      <c r="D174" s="3" t="n">
        <v>45250</v>
      </c>
      <c r="E174" s="4" t="n">
        <v>401</v>
      </c>
      <c r="F174">
        <f>Summary!$B$3-D174</f>
        <v/>
      </c>
      <c r="G174">
        <f>IF(D174&gt;Summary!$B$3,"Current",IF(F174&lt;=30,"0-30",IF(F174&lt;=60,"31-60",IF(F174&lt;=90,"61-90","90+"))))</f>
        <v/>
      </c>
    </row>
    <row r="175">
      <c r="A175" t="inlineStr">
        <is>
          <t>0009006305</t>
        </is>
      </c>
      <c r="B175" t="inlineStr">
        <is>
          <t>0000100552</t>
        </is>
      </c>
      <c r="C175" s="3" t="n">
        <v>45204</v>
      </c>
      <c r="D175" s="3" t="n">
        <v>45234</v>
      </c>
      <c r="E175" s="4" t="n">
        <v>119.52</v>
      </c>
      <c r="F175">
        <f>Summary!$B$3-D175</f>
        <v/>
      </c>
      <c r="G175">
        <f>IF(D175&gt;Summary!$B$3,"Current",IF(F175&lt;=30,"0-30",IF(F175&lt;=60,"31-60",IF(F175&lt;=90,"61-90","90+"))))</f>
        <v/>
      </c>
    </row>
    <row r="176">
      <c r="A176" t="inlineStr">
        <is>
          <t>0009006309</t>
        </is>
      </c>
      <c r="B176" t="inlineStr">
        <is>
          <t>0000100070</t>
        </is>
      </c>
      <c r="C176" s="3" t="n">
        <v>45201</v>
      </c>
      <c r="D176" s="3" t="n">
        <v>45231</v>
      </c>
      <c r="E176" s="4" t="n">
        <v>479.34</v>
      </c>
      <c r="F176">
        <f>Summary!$B$3-D176</f>
        <v/>
      </c>
      <c r="G176">
        <f>IF(D176&gt;Summary!$B$3,"Current",IF(F176&lt;=30,"0-30",IF(F176&lt;=60,"31-60",IF(F176&lt;=90,"61-90","90+"))))</f>
        <v/>
      </c>
    </row>
    <row r="177">
      <c r="A177" t="inlineStr">
        <is>
          <t>0009006368</t>
        </is>
      </c>
      <c r="B177" t="inlineStr">
        <is>
          <t>0000100348</t>
        </is>
      </c>
      <c r="C177" s="3" t="n">
        <v>45206</v>
      </c>
      <c r="D177" s="3" t="n">
        <v>45266</v>
      </c>
      <c r="E177" s="4" t="n">
        <v>1528.49</v>
      </c>
      <c r="F177">
        <f>Summary!$B$3-D177</f>
        <v/>
      </c>
      <c r="G177">
        <f>IF(D177&gt;Summary!$B$3,"Current",IF(F177&lt;=30,"0-30",IF(F177&lt;=60,"31-60",IF(F177&lt;=90,"61-90","90+"))))</f>
        <v/>
      </c>
    </row>
    <row r="178">
      <c r="A178" t="inlineStr">
        <is>
          <t>0009006494</t>
        </is>
      </c>
      <c r="B178" t="inlineStr">
        <is>
          <t>0000100377</t>
        </is>
      </c>
      <c r="C178" s="3" t="n">
        <v>45218</v>
      </c>
      <c r="D178" s="3" t="n">
        <v>45248</v>
      </c>
      <c r="E178" s="4" t="n">
        <v>604.27</v>
      </c>
      <c r="F178">
        <f>Summary!$B$3-D178</f>
        <v/>
      </c>
      <c r="G178">
        <f>IF(D178&gt;Summary!$B$3,"Current",IF(F178&lt;=30,"0-30",IF(F178&lt;=60,"31-60",IF(F178&lt;=90,"61-90","90+"))))</f>
        <v/>
      </c>
    </row>
    <row r="179">
      <c r="A179" t="inlineStr">
        <is>
          <t>0009006495</t>
        </is>
      </c>
      <c r="B179" t="inlineStr">
        <is>
          <t>0000100207</t>
        </is>
      </c>
      <c r="C179" s="3" t="n">
        <v>45211</v>
      </c>
      <c r="D179" s="3" t="n">
        <v>45241</v>
      </c>
      <c r="E179" s="4" t="n">
        <v>3621</v>
      </c>
      <c r="F179">
        <f>Summary!$B$3-D179</f>
        <v/>
      </c>
      <c r="G179">
        <f>IF(D179&gt;Summary!$B$3,"Current",IF(F179&lt;=30,"0-30",IF(F179&lt;=60,"31-60",IF(F179&lt;=90,"61-90","90+"))))</f>
        <v/>
      </c>
    </row>
    <row r="180">
      <c r="A180" t="inlineStr">
        <is>
          <t>0009006529</t>
        </is>
      </c>
      <c r="B180" t="inlineStr">
        <is>
          <t>0000100106</t>
        </is>
      </c>
      <c r="C180" s="3" t="n">
        <v>45211</v>
      </c>
      <c r="D180" s="3" t="n">
        <v>45256</v>
      </c>
      <c r="E180" s="4" t="n">
        <v>166.98</v>
      </c>
      <c r="F180">
        <f>Summary!$B$3-D180</f>
        <v/>
      </c>
      <c r="G180">
        <f>IF(D180&gt;Summary!$B$3,"Current",IF(F180&lt;=30,"0-30",IF(F180&lt;=60,"31-60",IF(F180&lt;=90,"61-90","90+"))))</f>
        <v/>
      </c>
    </row>
    <row r="181">
      <c r="A181" t="inlineStr">
        <is>
          <t>0009006570</t>
        </is>
      </c>
      <c r="B181" t="inlineStr">
        <is>
          <t>0000100052</t>
        </is>
      </c>
      <c r="C181" s="3" t="n">
        <v>45214</v>
      </c>
      <c r="D181" s="3" t="n">
        <v>45259</v>
      </c>
      <c r="E181" s="4" t="n">
        <v>412.46</v>
      </c>
      <c r="F181">
        <f>Summary!$B$3-D181</f>
        <v/>
      </c>
      <c r="G181">
        <f>IF(D181&gt;Summary!$B$3,"Current",IF(F181&lt;=30,"0-30",IF(F181&lt;=60,"31-60",IF(F181&lt;=90,"61-90","90+"))))</f>
        <v/>
      </c>
    </row>
    <row r="182">
      <c r="A182" t="inlineStr">
        <is>
          <t>0009006645</t>
        </is>
      </c>
      <c r="B182" t="inlineStr">
        <is>
          <t>0000100285</t>
        </is>
      </c>
      <c r="C182" s="3" t="n">
        <v>45214</v>
      </c>
      <c r="D182" s="3" t="n">
        <v>45244</v>
      </c>
      <c r="E182" s="4" t="n">
        <v>410.49</v>
      </c>
      <c r="F182">
        <f>Summary!$B$3-D182</f>
        <v/>
      </c>
      <c r="G182">
        <f>IF(D182&gt;Summary!$B$3,"Current",IF(F182&lt;=30,"0-30",IF(F182&lt;=60,"31-60",IF(F182&lt;=90,"61-90","90+"))))</f>
        <v/>
      </c>
    </row>
    <row r="183">
      <c r="A183" t="inlineStr">
        <is>
          <t>0009006704</t>
        </is>
      </c>
      <c r="B183" t="inlineStr">
        <is>
          <t>0000100494</t>
        </is>
      </c>
      <c r="C183" s="3" t="n">
        <v>45214</v>
      </c>
      <c r="D183" s="3" t="n">
        <v>45259</v>
      </c>
      <c r="E183" s="4" t="n">
        <v>373.65</v>
      </c>
      <c r="F183">
        <f>Summary!$B$3-D183</f>
        <v/>
      </c>
      <c r="G183">
        <f>IF(D183&gt;Summary!$B$3,"Current",IF(F183&lt;=30,"0-30",IF(F183&lt;=60,"31-60",IF(F183&lt;=90,"61-90","90+"))))</f>
        <v/>
      </c>
    </row>
    <row r="184">
      <c r="A184" t="inlineStr">
        <is>
          <t>0009006709</t>
        </is>
      </c>
      <c r="B184" t="inlineStr">
        <is>
          <t>0000100274</t>
        </is>
      </c>
      <c r="C184" s="3" t="n">
        <v>45219</v>
      </c>
      <c r="D184" s="3" t="n">
        <v>45264</v>
      </c>
      <c r="E184" s="4" t="n">
        <v>2161.64</v>
      </c>
      <c r="F184">
        <f>Summary!$B$3-D184</f>
        <v/>
      </c>
      <c r="G184">
        <f>IF(D184&gt;Summary!$B$3,"Current",IF(F184&lt;=30,"0-30",IF(F184&lt;=60,"31-60",IF(F184&lt;=90,"61-90","90+"))))</f>
        <v/>
      </c>
    </row>
    <row r="185">
      <c r="A185" t="inlineStr">
        <is>
          <t>0009006719</t>
        </is>
      </c>
      <c r="B185" t="inlineStr">
        <is>
          <t>0000100175</t>
        </is>
      </c>
      <c r="C185" s="3" t="n">
        <v>45214</v>
      </c>
      <c r="D185" s="3" t="n">
        <v>45274</v>
      </c>
      <c r="E185" s="4" t="n">
        <v>3514.93</v>
      </c>
      <c r="F185">
        <f>Summary!$B$3-D185</f>
        <v/>
      </c>
      <c r="G185">
        <f>IF(D185&gt;Summary!$B$3,"Current",IF(F185&lt;=30,"0-30",IF(F185&lt;=60,"31-60",IF(F185&lt;=90,"61-90","90+"))))</f>
        <v/>
      </c>
    </row>
    <row r="186">
      <c r="A186" t="inlineStr">
        <is>
          <t>0009006937</t>
        </is>
      </c>
      <c r="B186" t="inlineStr">
        <is>
          <t>0000100116</t>
        </is>
      </c>
      <c r="C186" s="3" t="n">
        <v>45224</v>
      </c>
      <c r="D186" s="3" t="n">
        <v>45269</v>
      </c>
      <c r="E186" s="4" t="n">
        <v>1401.18</v>
      </c>
      <c r="F186">
        <f>Summary!$B$3-D186</f>
        <v/>
      </c>
      <c r="G186">
        <f>IF(D186&gt;Summary!$B$3,"Current",IF(F186&lt;=30,"0-30",IF(F186&lt;=60,"31-60",IF(F186&lt;=90,"61-90","90+"))))</f>
        <v/>
      </c>
    </row>
    <row r="187">
      <c r="A187" t="inlineStr">
        <is>
          <t>0009006961</t>
        </is>
      </c>
      <c r="B187" t="inlineStr">
        <is>
          <t>0000100079</t>
        </is>
      </c>
      <c r="C187" s="3" t="n">
        <v>45226</v>
      </c>
      <c r="D187" s="3" t="n">
        <v>45256</v>
      </c>
      <c r="E187" s="4" t="n">
        <v>299.91</v>
      </c>
      <c r="F187">
        <f>Summary!$B$3-D187</f>
        <v/>
      </c>
      <c r="G187">
        <f>IF(D187&gt;Summary!$B$3,"Current",IF(F187&lt;=30,"0-30",IF(F187&lt;=60,"31-60",IF(F187&lt;=90,"61-90","90+"))))</f>
        <v/>
      </c>
    </row>
    <row r="188">
      <c r="A188" t="inlineStr">
        <is>
          <t>0009007041</t>
        </is>
      </c>
      <c r="B188" t="inlineStr">
        <is>
          <t>0000100164</t>
        </is>
      </c>
      <c r="C188" s="3" t="n">
        <v>45235</v>
      </c>
      <c r="D188" s="3" t="n">
        <v>45295</v>
      </c>
      <c r="E188" s="4" t="n">
        <v>233.65</v>
      </c>
      <c r="F188">
        <f>Summary!$B$3-D188</f>
        <v/>
      </c>
      <c r="G188">
        <f>IF(D188&gt;Summary!$B$3,"Current",IF(F188&lt;=30,"0-30",IF(F188&lt;=60,"31-60",IF(F188&lt;=90,"61-90","90+"))))</f>
        <v/>
      </c>
    </row>
    <row r="189">
      <c r="A189" t="inlineStr">
        <is>
          <t>0009007091</t>
        </is>
      </c>
      <c r="B189" t="inlineStr">
        <is>
          <t>0000100558</t>
        </is>
      </c>
      <c r="C189" s="3" t="n">
        <v>45234</v>
      </c>
      <c r="D189" s="3" t="n">
        <v>45264</v>
      </c>
      <c r="E189" s="4" t="n">
        <v>237.09</v>
      </c>
      <c r="F189">
        <f>Summary!$B$3-D189</f>
        <v/>
      </c>
      <c r="G189">
        <f>IF(D189&gt;Summary!$B$3,"Current",IF(F189&lt;=30,"0-30",IF(F189&lt;=60,"31-60",IF(F189&lt;=90,"61-90","90+"))))</f>
        <v/>
      </c>
    </row>
    <row r="190">
      <c r="A190" t="inlineStr">
        <is>
          <t>0009007093</t>
        </is>
      </c>
      <c r="B190" t="inlineStr">
        <is>
          <t>0000100525</t>
        </is>
      </c>
      <c r="C190" s="3" t="n">
        <v>45232</v>
      </c>
      <c r="D190" s="3" t="n">
        <v>45277</v>
      </c>
      <c r="E190" s="4" t="n">
        <v>992.5599999999999</v>
      </c>
      <c r="F190">
        <f>Summary!$B$3-D190</f>
        <v/>
      </c>
      <c r="G190">
        <f>IF(D190&gt;Summary!$B$3,"Current",IF(F190&lt;=30,"0-30",IF(F190&lt;=60,"31-60",IF(F190&lt;=90,"61-90","90+"))))</f>
        <v/>
      </c>
    </row>
    <row r="191">
      <c r="A191" t="inlineStr">
        <is>
          <t>0009007128</t>
        </is>
      </c>
      <c r="B191" t="inlineStr">
        <is>
          <t>0000100204</t>
        </is>
      </c>
      <c r="C191" s="3" t="n">
        <v>45232</v>
      </c>
      <c r="D191" s="3" t="n">
        <v>45262</v>
      </c>
      <c r="E191" s="4" t="n">
        <v>2828.79</v>
      </c>
      <c r="F191">
        <f>Summary!$B$3-D191</f>
        <v/>
      </c>
      <c r="G191">
        <f>IF(D191&gt;Summary!$B$3,"Current",IF(F191&lt;=30,"0-30",IF(F191&lt;=60,"31-60",IF(F191&lt;=90,"61-90","90+"))))</f>
        <v/>
      </c>
    </row>
    <row r="192">
      <c r="A192" t="inlineStr">
        <is>
          <t>0009007136</t>
        </is>
      </c>
      <c r="B192" t="inlineStr">
        <is>
          <t>0000100588</t>
        </is>
      </c>
      <c r="C192" s="3" t="n">
        <v>45239</v>
      </c>
      <c r="D192" s="3" t="n">
        <v>45269</v>
      </c>
      <c r="E192" s="4" t="n">
        <v>834.46</v>
      </c>
      <c r="F192">
        <f>Summary!$B$3-D192</f>
        <v/>
      </c>
      <c r="G192">
        <f>IF(D192&gt;Summary!$B$3,"Current",IF(F192&lt;=30,"0-30",IF(F192&lt;=60,"31-60",IF(F192&lt;=90,"61-90","90+"))))</f>
        <v/>
      </c>
    </row>
    <row r="193">
      <c r="A193" t="inlineStr">
        <is>
          <t>0009007150</t>
        </is>
      </c>
      <c r="B193" t="inlineStr">
        <is>
          <t>0000100249</t>
        </is>
      </c>
      <c r="C193" s="3" t="n">
        <v>45240</v>
      </c>
      <c r="D193" s="3" t="n">
        <v>45300</v>
      </c>
      <c r="E193" s="4" t="n">
        <v>844.8</v>
      </c>
      <c r="F193">
        <f>Summary!$B$3-D193</f>
        <v/>
      </c>
      <c r="G193">
        <f>IF(D193&gt;Summary!$B$3,"Current",IF(F193&lt;=30,"0-30",IF(F193&lt;=60,"31-60",IF(F193&lt;=90,"61-90","90+"))))</f>
        <v/>
      </c>
    </row>
    <row r="194">
      <c r="A194" t="inlineStr">
        <is>
          <t>0009007161</t>
        </is>
      </c>
      <c r="B194" t="inlineStr">
        <is>
          <t>0000100019</t>
        </is>
      </c>
      <c r="C194" s="3" t="n">
        <v>45236</v>
      </c>
      <c r="D194" s="3" t="n">
        <v>45266</v>
      </c>
      <c r="E194" s="4" t="n">
        <v>190.86</v>
      </c>
      <c r="F194">
        <f>Summary!$B$3-D194</f>
        <v/>
      </c>
      <c r="G194">
        <f>IF(D194&gt;Summary!$B$3,"Current",IF(F194&lt;=30,"0-30",IF(F194&lt;=60,"31-60",IF(F194&lt;=90,"61-90","90+"))))</f>
        <v/>
      </c>
    </row>
    <row r="195">
      <c r="A195" t="inlineStr">
        <is>
          <t>0009007177</t>
        </is>
      </c>
      <c r="B195" t="inlineStr">
        <is>
          <t>0000100227</t>
        </is>
      </c>
      <c r="C195" s="3" t="n">
        <v>45234</v>
      </c>
      <c r="D195" s="3" t="n">
        <v>45264</v>
      </c>
      <c r="E195" s="4" t="n">
        <v>1072.59</v>
      </c>
      <c r="F195">
        <f>Summary!$B$3-D195</f>
        <v/>
      </c>
      <c r="G195">
        <f>IF(D195&gt;Summary!$B$3,"Current",IF(F195&lt;=30,"0-30",IF(F195&lt;=60,"31-60",IF(F195&lt;=90,"61-90","90+"))))</f>
        <v/>
      </c>
    </row>
    <row r="196">
      <c r="A196" t="inlineStr">
        <is>
          <t>0009007194</t>
        </is>
      </c>
      <c r="B196" t="inlineStr">
        <is>
          <t>0000100581</t>
        </is>
      </c>
      <c r="C196" s="3" t="n">
        <v>45242</v>
      </c>
      <c r="D196" s="3" t="n">
        <v>45272</v>
      </c>
      <c r="E196" s="4" t="n">
        <v>319.41</v>
      </c>
      <c r="F196">
        <f>Summary!$B$3-D196</f>
        <v/>
      </c>
      <c r="G196">
        <f>IF(D196&gt;Summary!$B$3,"Current",IF(F196&lt;=30,"0-30",IF(F196&lt;=60,"31-60",IF(F196&lt;=90,"61-90","90+"))))</f>
        <v/>
      </c>
    </row>
    <row r="197">
      <c r="A197" t="inlineStr">
        <is>
          <t>0009007237</t>
        </is>
      </c>
      <c r="B197" t="inlineStr">
        <is>
          <t>0000100097</t>
        </is>
      </c>
      <c r="C197" s="3" t="n">
        <v>45238</v>
      </c>
      <c r="D197" s="3" t="n">
        <v>45283</v>
      </c>
      <c r="E197" s="4" t="n">
        <v>151.8</v>
      </c>
      <c r="F197">
        <f>Summary!$B$3-D197</f>
        <v/>
      </c>
      <c r="G197">
        <f>IF(D197&gt;Summary!$B$3,"Current",IF(F197&lt;=30,"0-30",IF(F197&lt;=60,"31-60",IF(F197&lt;=90,"61-90","90+"))))</f>
        <v/>
      </c>
    </row>
    <row r="198">
      <c r="A198" t="inlineStr">
        <is>
          <t>0009007278</t>
        </is>
      </c>
      <c r="B198" t="inlineStr">
        <is>
          <t>0000100128</t>
        </is>
      </c>
      <c r="C198" s="3" t="n">
        <v>45239</v>
      </c>
      <c r="D198" s="3" t="n">
        <v>45269</v>
      </c>
      <c r="E198" s="4" t="n">
        <v>339.62</v>
      </c>
      <c r="F198">
        <f>Summary!$B$3-D198</f>
        <v/>
      </c>
      <c r="G198">
        <f>IF(D198&gt;Summary!$B$3,"Current",IF(F198&lt;=30,"0-30",IF(F198&lt;=60,"31-60",IF(F198&lt;=90,"61-90","90+"))))</f>
        <v/>
      </c>
    </row>
    <row r="199">
      <c r="A199" t="inlineStr">
        <is>
          <t>0009007292</t>
        </is>
      </c>
      <c r="B199" t="inlineStr">
        <is>
          <t>0000100002</t>
        </is>
      </c>
      <c r="C199" s="3" t="n">
        <v>45241</v>
      </c>
      <c r="D199" s="3" t="n">
        <v>45301</v>
      </c>
      <c r="E199" s="4" t="n">
        <v>2177.26</v>
      </c>
      <c r="F199">
        <f>Summary!$B$3-D199</f>
        <v/>
      </c>
      <c r="G199">
        <f>IF(D199&gt;Summary!$B$3,"Current",IF(F199&lt;=30,"0-30",IF(F199&lt;=60,"31-60",IF(F199&lt;=90,"61-90","90+"))))</f>
        <v/>
      </c>
    </row>
    <row r="200">
      <c r="A200" t="inlineStr">
        <is>
          <t>0009007296</t>
        </is>
      </c>
      <c r="B200" t="inlineStr">
        <is>
          <t>0000100291</t>
        </is>
      </c>
      <c r="C200" s="3" t="n">
        <v>45243</v>
      </c>
      <c r="D200" s="3" t="n">
        <v>45303</v>
      </c>
      <c r="E200" s="4" t="n">
        <v>1476.82</v>
      </c>
      <c r="F200">
        <f>Summary!$B$3-D200</f>
        <v/>
      </c>
      <c r="G200">
        <f>IF(D200&gt;Summary!$B$3,"Current",IF(F200&lt;=30,"0-30",IF(F200&lt;=60,"31-60",IF(F200&lt;=90,"61-90","90+"))))</f>
        <v/>
      </c>
    </row>
    <row r="201">
      <c r="A201" t="inlineStr">
        <is>
          <t>0009007344</t>
        </is>
      </c>
      <c r="B201" t="inlineStr">
        <is>
          <t>0000100465</t>
        </is>
      </c>
      <c r="C201" s="3" t="n">
        <v>45235</v>
      </c>
      <c r="D201" s="3" t="n">
        <v>45295</v>
      </c>
      <c r="E201" s="4" t="n">
        <v>812.85</v>
      </c>
      <c r="F201">
        <f>Summary!$B$3-D201</f>
        <v/>
      </c>
      <c r="G201">
        <f>IF(D201&gt;Summary!$B$3,"Current",IF(F201&lt;=30,"0-30",IF(F201&lt;=60,"31-60",IF(F201&lt;=90,"61-90","90+"))))</f>
        <v/>
      </c>
    </row>
    <row r="202">
      <c r="A202" t="inlineStr">
        <is>
          <t>0009007360</t>
        </is>
      </c>
      <c r="B202" t="inlineStr">
        <is>
          <t>0000100070</t>
        </is>
      </c>
      <c r="C202" s="3" t="n">
        <v>45247</v>
      </c>
      <c r="D202" s="3" t="n">
        <v>45277</v>
      </c>
      <c r="E202" s="4" t="n">
        <v>649.79</v>
      </c>
      <c r="F202">
        <f>Summary!$B$3-D202</f>
        <v/>
      </c>
      <c r="G202">
        <f>IF(D202&gt;Summary!$B$3,"Current",IF(F202&lt;=30,"0-30",IF(F202&lt;=60,"31-60",IF(F202&lt;=90,"61-90","90+"))))</f>
        <v/>
      </c>
    </row>
    <row r="203">
      <c r="A203" t="inlineStr">
        <is>
          <t>0009007365</t>
        </is>
      </c>
      <c r="B203" t="inlineStr">
        <is>
          <t>0000100552</t>
        </is>
      </c>
      <c r="C203" s="3" t="n">
        <v>45240</v>
      </c>
      <c r="D203" s="3" t="n">
        <v>45270</v>
      </c>
      <c r="E203" s="4" t="n">
        <v>2108.06</v>
      </c>
      <c r="F203">
        <f>Summary!$B$3-D203</f>
        <v/>
      </c>
      <c r="G203">
        <f>IF(D203&gt;Summary!$B$3,"Current",IF(F203&lt;=30,"0-30",IF(F203&lt;=60,"31-60",IF(F203&lt;=90,"61-90","90+"))))</f>
        <v/>
      </c>
    </row>
    <row r="204">
      <c r="A204" t="inlineStr">
        <is>
          <t>0009007387</t>
        </is>
      </c>
      <c r="B204" t="inlineStr">
        <is>
          <t>0000100070</t>
        </is>
      </c>
      <c r="C204" s="3" t="n">
        <v>45247</v>
      </c>
      <c r="D204" s="3" t="n">
        <v>45277</v>
      </c>
      <c r="E204" s="4" t="n">
        <v>809.3099999999999</v>
      </c>
      <c r="F204">
        <f>Summary!$B$3-D204</f>
        <v/>
      </c>
      <c r="G204">
        <f>IF(D204&gt;Summary!$B$3,"Current",IF(F204&lt;=30,"0-30",IF(F204&lt;=60,"31-60",IF(F204&lt;=90,"61-90","90+"))))</f>
        <v/>
      </c>
    </row>
    <row r="205">
      <c r="A205" t="inlineStr">
        <is>
          <t>0009007441</t>
        </is>
      </c>
      <c r="B205" t="inlineStr">
        <is>
          <t>0000100247</t>
        </is>
      </c>
      <c r="C205" s="3" t="n">
        <v>45246</v>
      </c>
      <c r="D205" s="3" t="n">
        <v>45291</v>
      </c>
      <c r="E205" s="4" t="n">
        <v>876.29</v>
      </c>
      <c r="F205">
        <f>Summary!$B$3-D205</f>
        <v/>
      </c>
      <c r="G205">
        <f>IF(D205&gt;Summary!$B$3,"Current",IF(F205&lt;=30,"0-30",IF(F205&lt;=60,"31-60",IF(F205&lt;=90,"61-90","90+"))))</f>
        <v/>
      </c>
    </row>
    <row r="206">
      <c r="A206" t="inlineStr">
        <is>
          <t>0009007444</t>
        </is>
      </c>
      <c r="B206" t="inlineStr">
        <is>
          <t>0000100001</t>
        </is>
      </c>
      <c r="C206" s="3" t="n">
        <v>45244</v>
      </c>
      <c r="D206" s="3" t="n">
        <v>45289</v>
      </c>
      <c r="E206" s="4" t="n">
        <v>2848.22</v>
      </c>
      <c r="F206">
        <f>Summary!$B$3-D206</f>
        <v/>
      </c>
      <c r="G206">
        <f>IF(D206&gt;Summary!$B$3,"Current",IF(F206&lt;=30,"0-30",IF(F206&lt;=60,"31-60",IF(F206&lt;=90,"61-90","90+"))))</f>
        <v/>
      </c>
    </row>
    <row r="207">
      <c r="A207" t="inlineStr">
        <is>
          <t>0009007465</t>
        </is>
      </c>
      <c r="B207" t="inlineStr">
        <is>
          <t>0000100312</t>
        </is>
      </c>
      <c r="C207" s="3" t="n">
        <v>45243</v>
      </c>
      <c r="D207" s="3" t="n">
        <v>45303</v>
      </c>
      <c r="E207" s="4" t="n">
        <v>226.07</v>
      </c>
      <c r="F207">
        <f>Summary!$B$3-D207</f>
        <v/>
      </c>
      <c r="G207">
        <f>IF(D207&gt;Summary!$B$3,"Current",IF(F207&lt;=30,"0-30",IF(F207&lt;=60,"31-60",IF(F207&lt;=90,"61-90","90+"))))</f>
        <v/>
      </c>
    </row>
    <row r="208">
      <c r="A208" t="inlineStr">
        <is>
          <t>0009007467</t>
        </is>
      </c>
      <c r="B208" t="inlineStr">
        <is>
          <t>0000100164</t>
        </is>
      </c>
      <c r="C208" s="3" t="n">
        <v>45242</v>
      </c>
      <c r="D208" s="3" t="n">
        <v>45302</v>
      </c>
      <c r="E208" s="4" t="n">
        <v>317.56</v>
      </c>
      <c r="F208">
        <f>Summary!$B$3-D208</f>
        <v/>
      </c>
      <c r="G208">
        <f>IF(D208&gt;Summary!$B$3,"Current",IF(F208&lt;=30,"0-30",IF(F208&lt;=60,"31-60",IF(F208&lt;=90,"61-90","90+"))))</f>
        <v/>
      </c>
    </row>
    <row r="209">
      <c r="A209" t="inlineStr">
        <is>
          <t>0009007469</t>
        </is>
      </c>
      <c r="B209" t="inlineStr">
        <is>
          <t>0000100288</t>
        </is>
      </c>
      <c r="C209" s="3" t="n">
        <v>45247</v>
      </c>
      <c r="D209" s="3" t="n">
        <v>45277</v>
      </c>
      <c r="E209" s="4" t="n">
        <v>740.3099999999999</v>
      </c>
      <c r="F209">
        <f>Summary!$B$3-D209</f>
        <v/>
      </c>
      <c r="G209">
        <f>IF(D209&gt;Summary!$B$3,"Current",IF(F209&lt;=30,"0-30",IF(F209&lt;=60,"31-60",IF(F209&lt;=90,"61-90","90+"))))</f>
        <v/>
      </c>
    </row>
    <row r="210">
      <c r="A210" t="inlineStr">
        <is>
          <t>0009007486</t>
        </is>
      </c>
      <c r="B210" t="inlineStr">
        <is>
          <t>0000100028</t>
        </is>
      </c>
      <c r="C210" s="3" t="n">
        <v>45246</v>
      </c>
      <c r="D210" s="3" t="n">
        <v>45291</v>
      </c>
      <c r="E210" s="4" t="n">
        <v>17.29</v>
      </c>
      <c r="F210">
        <f>Summary!$B$3-D210</f>
        <v/>
      </c>
      <c r="G210">
        <f>IF(D210&gt;Summary!$B$3,"Current",IF(F210&lt;=30,"0-30",IF(F210&lt;=60,"31-60",IF(F210&lt;=90,"61-90","90+"))))</f>
        <v/>
      </c>
    </row>
    <row r="211">
      <c r="A211" t="inlineStr">
        <is>
          <t>0009007488</t>
        </is>
      </c>
      <c r="B211" t="inlineStr">
        <is>
          <t>0000100101</t>
        </is>
      </c>
      <c r="C211" s="3" t="n">
        <v>45245</v>
      </c>
      <c r="D211" s="3" t="n">
        <v>45275</v>
      </c>
      <c r="E211" s="4" t="n">
        <v>1028.41</v>
      </c>
      <c r="F211">
        <f>Summary!$B$3-D211</f>
        <v/>
      </c>
      <c r="G211">
        <f>IF(D211&gt;Summary!$B$3,"Current",IF(F211&lt;=30,"0-30",IF(F211&lt;=60,"31-60",IF(F211&lt;=90,"61-90","90+"))))</f>
        <v/>
      </c>
    </row>
    <row r="212">
      <c r="A212" t="inlineStr">
        <is>
          <t>0009007507</t>
        </is>
      </c>
      <c r="B212" t="inlineStr">
        <is>
          <t>0000100593</t>
        </is>
      </c>
      <c r="C212" s="3" t="n">
        <v>45244</v>
      </c>
      <c r="D212" s="3" t="n">
        <v>45304</v>
      </c>
      <c r="E212" s="4" t="n">
        <v>2000.24</v>
      </c>
      <c r="F212">
        <f>Summary!$B$3-D212</f>
        <v/>
      </c>
      <c r="G212">
        <f>IF(D212&gt;Summary!$B$3,"Current",IF(F212&lt;=30,"0-30",IF(F212&lt;=60,"31-60",IF(F212&lt;=90,"61-90","90+"))))</f>
        <v/>
      </c>
    </row>
    <row r="213">
      <c r="A213" t="inlineStr">
        <is>
          <t>0009007510</t>
        </is>
      </c>
      <c r="B213" t="inlineStr">
        <is>
          <t>0000100149</t>
        </is>
      </c>
      <c r="C213" s="3" t="n">
        <v>45244</v>
      </c>
      <c r="D213" s="3" t="n">
        <v>45304</v>
      </c>
      <c r="E213" s="4" t="n">
        <v>964.2</v>
      </c>
      <c r="F213">
        <f>Summary!$B$3-D213</f>
        <v/>
      </c>
      <c r="G213">
        <f>IF(D213&gt;Summary!$B$3,"Current",IF(F213&lt;=30,"0-30",IF(F213&lt;=60,"31-60",IF(F213&lt;=90,"61-90","90+"))))</f>
        <v/>
      </c>
    </row>
    <row r="214">
      <c r="A214" t="inlineStr">
        <is>
          <t>0009007567</t>
        </is>
      </c>
      <c r="B214" t="inlineStr">
        <is>
          <t>0000100196</t>
        </is>
      </c>
      <c r="C214" s="3" t="n">
        <v>45247</v>
      </c>
      <c r="D214" s="3" t="n">
        <v>45277</v>
      </c>
      <c r="E214" s="4" t="n">
        <v>1295.58</v>
      </c>
      <c r="F214">
        <f>Summary!$B$3-D214</f>
        <v/>
      </c>
      <c r="G214">
        <f>IF(D214&gt;Summary!$B$3,"Current",IF(F214&lt;=30,"0-30",IF(F214&lt;=60,"31-60",IF(F214&lt;=90,"61-90","90+"))))</f>
        <v/>
      </c>
    </row>
    <row r="215">
      <c r="A215" t="inlineStr">
        <is>
          <t>0009007588</t>
        </is>
      </c>
      <c r="B215" t="inlineStr">
        <is>
          <t>0000100593</t>
        </is>
      </c>
      <c r="C215" s="3" t="n">
        <v>45252</v>
      </c>
      <c r="D215" s="3" t="n">
        <v>45312</v>
      </c>
      <c r="E215" s="4" t="n">
        <v>3432.51</v>
      </c>
      <c r="F215">
        <f>Summary!$B$3-D215</f>
        <v/>
      </c>
      <c r="G215">
        <f>IF(D215&gt;Summary!$B$3,"Current",IF(F215&lt;=30,"0-30",IF(F215&lt;=60,"31-60",IF(F215&lt;=90,"61-90","90+"))))</f>
        <v/>
      </c>
    </row>
    <row r="216">
      <c r="A216" t="inlineStr">
        <is>
          <t>0009007598</t>
        </is>
      </c>
      <c r="B216" t="inlineStr">
        <is>
          <t>0000100300</t>
        </is>
      </c>
      <c r="C216" s="3" t="n">
        <v>45252</v>
      </c>
      <c r="D216" s="3" t="n">
        <v>45282</v>
      </c>
      <c r="E216" s="4" t="n">
        <v>387.52</v>
      </c>
      <c r="F216">
        <f>Summary!$B$3-D216</f>
        <v/>
      </c>
      <c r="G216">
        <f>IF(D216&gt;Summary!$B$3,"Current",IF(F216&lt;=30,"0-30",IF(F216&lt;=60,"31-60",IF(F216&lt;=90,"61-90","90+"))))</f>
        <v/>
      </c>
    </row>
    <row r="217">
      <c r="A217" t="inlineStr">
        <is>
          <t>0009007602</t>
        </is>
      </c>
      <c r="B217" t="inlineStr">
        <is>
          <t>0000100326</t>
        </is>
      </c>
      <c r="C217" s="3" t="n">
        <v>45248</v>
      </c>
      <c r="D217" s="3" t="n">
        <v>45278</v>
      </c>
      <c r="E217" s="4" t="n">
        <v>267.6</v>
      </c>
      <c r="F217">
        <f>Summary!$B$3-D217</f>
        <v/>
      </c>
      <c r="G217">
        <f>IF(D217&gt;Summary!$B$3,"Current",IF(F217&lt;=30,"0-30",IF(F217&lt;=60,"31-60",IF(F217&lt;=90,"61-90","90+"))))</f>
        <v/>
      </c>
    </row>
    <row r="218">
      <c r="A218" t="inlineStr">
        <is>
          <t>0009007631</t>
        </is>
      </c>
      <c r="B218" t="inlineStr">
        <is>
          <t>0000100324</t>
        </is>
      </c>
      <c r="C218" s="3" t="n">
        <v>45252</v>
      </c>
      <c r="D218" s="3" t="n">
        <v>45282</v>
      </c>
      <c r="E218" s="4" t="n">
        <v>558.89</v>
      </c>
      <c r="F218">
        <f>Summary!$B$3-D218</f>
        <v/>
      </c>
      <c r="G218">
        <f>IF(D218&gt;Summary!$B$3,"Current",IF(F218&lt;=30,"0-30",IF(F218&lt;=60,"31-60",IF(F218&lt;=90,"61-90","90+"))))</f>
        <v/>
      </c>
    </row>
    <row r="219">
      <c r="A219" t="inlineStr">
        <is>
          <t>0009007641</t>
        </is>
      </c>
      <c r="B219" t="inlineStr">
        <is>
          <t>0000100371</t>
        </is>
      </c>
      <c r="C219" s="3" t="n">
        <v>45259</v>
      </c>
      <c r="D219" s="3" t="n">
        <v>45289</v>
      </c>
      <c r="E219" s="4" t="n">
        <v>165.56</v>
      </c>
      <c r="F219">
        <f>Summary!$B$3-D219</f>
        <v/>
      </c>
      <c r="G219">
        <f>IF(D219&gt;Summary!$B$3,"Current",IF(F219&lt;=30,"0-30",IF(F219&lt;=60,"31-60",IF(F219&lt;=90,"61-90","90+"))))</f>
        <v/>
      </c>
    </row>
    <row r="220">
      <c r="A220" t="inlineStr">
        <is>
          <t>0009007714</t>
        </is>
      </c>
      <c r="B220" t="inlineStr">
        <is>
          <t>0000100465</t>
        </is>
      </c>
      <c r="C220" s="3" t="n">
        <v>45254</v>
      </c>
      <c r="D220" s="3" t="n">
        <v>45314</v>
      </c>
      <c r="E220" s="4" t="n">
        <v>152.7</v>
      </c>
      <c r="F220">
        <f>Summary!$B$3-D220</f>
        <v/>
      </c>
      <c r="G220">
        <f>IF(D220&gt;Summary!$B$3,"Current",IF(F220&lt;=30,"0-30",IF(F220&lt;=60,"31-60",IF(F220&lt;=90,"61-90","90+"))))</f>
        <v/>
      </c>
    </row>
    <row r="221">
      <c r="A221" t="inlineStr">
        <is>
          <t>0009007736</t>
        </is>
      </c>
      <c r="B221" t="inlineStr">
        <is>
          <t>0000100169</t>
        </is>
      </c>
      <c r="C221" s="3" t="n">
        <v>45255</v>
      </c>
      <c r="D221" s="3" t="n">
        <v>45300</v>
      </c>
      <c r="E221" s="4" t="n">
        <v>228.67</v>
      </c>
      <c r="F221">
        <f>Summary!$B$3-D221</f>
        <v/>
      </c>
      <c r="G221">
        <f>IF(D221&gt;Summary!$B$3,"Current",IF(F221&lt;=30,"0-30",IF(F221&lt;=60,"31-60",IF(F221&lt;=90,"61-90","90+"))))</f>
        <v/>
      </c>
    </row>
    <row r="222">
      <c r="A222" t="inlineStr">
        <is>
          <t>0009007739</t>
        </is>
      </c>
      <c r="B222" t="inlineStr">
        <is>
          <t>0000100187</t>
        </is>
      </c>
      <c r="C222" s="3" t="n">
        <v>45250</v>
      </c>
      <c r="D222" s="3" t="n">
        <v>45280</v>
      </c>
      <c r="E222" s="4" t="n">
        <v>365.76</v>
      </c>
      <c r="F222">
        <f>Summary!$B$3-D222</f>
        <v/>
      </c>
      <c r="G222">
        <f>IF(D222&gt;Summary!$B$3,"Current",IF(F222&lt;=30,"0-30",IF(F222&lt;=60,"31-60",IF(F222&lt;=90,"61-90","90+"))))</f>
        <v/>
      </c>
    </row>
    <row r="223">
      <c r="A223" t="inlineStr">
        <is>
          <t>0009007741</t>
        </is>
      </c>
      <c r="B223" t="inlineStr">
        <is>
          <t>0000100338</t>
        </is>
      </c>
      <c r="C223" s="3" t="n">
        <v>45267</v>
      </c>
      <c r="D223" s="3" t="n">
        <v>45327</v>
      </c>
      <c r="E223" s="4" t="n">
        <v>239.99</v>
      </c>
      <c r="F223">
        <f>Summary!$B$3-D223</f>
        <v/>
      </c>
      <c r="G223">
        <f>IF(D223&gt;Summary!$B$3,"Current",IF(F223&lt;=30,"0-30",IF(F223&lt;=60,"31-60",IF(F223&lt;=90,"61-90","90+"))))</f>
        <v/>
      </c>
    </row>
    <row r="224">
      <c r="A224" t="inlineStr">
        <is>
          <t>0009007756</t>
        </is>
      </c>
      <c r="B224" t="inlineStr">
        <is>
          <t>0000100364</t>
        </is>
      </c>
      <c r="C224" s="3" t="n">
        <v>45252</v>
      </c>
      <c r="D224" s="3" t="n">
        <v>45312</v>
      </c>
      <c r="E224" s="4" t="n">
        <v>737.9</v>
      </c>
      <c r="F224">
        <f>Summary!$B$3-D224</f>
        <v/>
      </c>
      <c r="G224">
        <f>IF(D224&gt;Summary!$B$3,"Current",IF(F224&lt;=30,"0-30",IF(F224&lt;=60,"31-60",IF(F224&lt;=90,"61-90","90+"))))</f>
        <v/>
      </c>
    </row>
    <row r="225">
      <c r="A225" t="inlineStr">
        <is>
          <t>0009007762</t>
        </is>
      </c>
      <c r="B225" t="inlineStr">
        <is>
          <t>0000100018</t>
        </is>
      </c>
      <c r="C225" s="3" t="n">
        <v>45256</v>
      </c>
      <c r="D225" s="3" t="n">
        <v>45286</v>
      </c>
      <c r="E225" s="4" t="n">
        <v>528.35</v>
      </c>
      <c r="F225">
        <f>Summary!$B$3-D225</f>
        <v/>
      </c>
      <c r="G225">
        <f>IF(D225&gt;Summary!$B$3,"Current",IF(F225&lt;=30,"0-30",IF(F225&lt;=60,"31-60",IF(F225&lt;=90,"61-90","90+"))))</f>
        <v/>
      </c>
    </row>
    <row r="226">
      <c r="A226" t="inlineStr">
        <is>
          <t>0009007768</t>
        </is>
      </c>
      <c r="B226" t="inlineStr">
        <is>
          <t>0000100222</t>
        </is>
      </c>
      <c r="C226" s="3" t="n">
        <v>45251</v>
      </c>
      <c r="D226" s="3" t="n">
        <v>45281</v>
      </c>
      <c r="E226" s="4" t="n">
        <v>544.53</v>
      </c>
      <c r="F226">
        <f>Summary!$B$3-D226</f>
        <v/>
      </c>
      <c r="G226">
        <f>IF(D226&gt;Summary!$B$3,"Current",IF(F226&lt;=30,"0-30",IF(F226&lt;=60,"31-60",IF(F226&lt;=90,"61-90","90+"))))</f>
        <v/>
      </c>
    </row>
    <row r="227">
      <c r="A227" t="inlineStr">
        <is>
          <t>0009007769</t>
        </is>
      </c>
      <c r="B227" t="inlineStr">
        <is>
          <t>0000100324</t>
        </is>
      </c>
      <c r="C227" s="3" t="n">
        <v>45254</v>
      </c>
      <c r="D227" s="3" t="n">
        <v>45284</v>
      </c>
      <c r="E227" s="4" t="n">
        <v>783.29</v>
      </c>
      <c r="F227">
        <f>Summary!$B$3-D227</f>
        <v/>
      </c>
      <c r="G227">
        <f>IF(D227&gt;Summary!$B$3,"Current",IF(F227&lt;=30,"0-30",IF(F227&lt;=60,"31-60",IF(F227&lt;=90,"61-90","90+"))))</f>
        <v/>
      </c>
    </row>
    <row r="228">
      <c r="A228" t="inlineStr">
        <is>
          <t>0009007820</t>
        </is>
      </c>
      <c r="B228" t="inlineStr">
        <is>
          <t>0000100409</t>
        </is>
      </c>
      <c r="C228" s="3" t="n">
        <v>45257</v>
      </c>
      <c r="D228" s="3" t="n">
        <v>45287</v>
      </c>
      <c r="E228" s="4" t="n">
        <v>3643.08</v>
      </c>
      <c r="F228">
        <f>Summary!$B$3-D228</f>
        <v/>
      </c>
      <c r="G228">
        <f>IF(D228&gt;Summary!$B$3,"Current",IF(F228&lt;=30,"0-30",IF(F228&lt;=60,"31-60",IF(F228&lt;=90,"61-90","90+"))))</f>
        <v/>
      </c>
    </row>
    <row r="229">
      <c r="A229" t="inlineStr">
        <is>
          <t>0009007822</t>
        </is>
      </c>
      <c r="B229" t="inlineStr">
        <is>
          <t>0000100465</t>
        </is>
      </c>
      <c r="C229" s="3" t="n">
        <v>45259</v>
      </c>
      <c r="D229" s="3" t="n">
        <v>45319</v>
      </c>
      <c r="E229" s="4" t="n">
        <v>1796.25</v>
      </c>
      <c r="F229">
        <f>Summary!$B$3-D229</f>
        <v/>
      </c>
      <c r="G229">
        <f>IF(D229&gt;Summary!$B$3,"Current",IF(F229&lt;=30,"0-30",IF(F229&lt;=60,"31-60",IF(F229&lt;=90,"61-90","90+"))))</f>
        <v/>
      </c>
    </row>
    <row r="230">
      <c r="A230" t="inlineStr">
        <is>
          <t>0009007885</t>
        </is>
      </c>
      <c r="B230" t="inlineStr">
        <is>
          <t>0000100591</t>
        </is>
      </c>
      <c r="C230" s="3" t="n">
        <v>45256</v>
      </c>
      <c r="D230" s="3" t="n">
        <v>45286</v>
      </c>
      <c r="E230" s="4" t="n">
        <v>106.38</v>
      </c>
      <c r="F230">
        <f>Summary!$B$3-D230</f>
        <v/>
      </c>
      <c r="G230">
        <f>IF(D230&gt;Summary!$B$3,"Current",IF(F230&lt;=30,"0-30",IF(F230&lt;=60,"31-60",IF(F230&lt;=90,"61-90","90+"))))</f>
        <v/>
      </c>
    </row>
    <row r="231">
      <c r="A231" t="inlineStr">
        <is>
          <t>0009007958</t>
        </is>
      </c>
      <c r="B231" t="inlineStr">
        <is>
          <t>0000100258</t>
        </is>
      </c>
      <c r="C231" s="3" t="n">
        <v>45260</v>
      </c>
      <c r="D231" s="3" t="n">
        <v>45290</v>
      </c>
      <c r="E231" s="4" t="n">
        <v>1227.7</v>
      </c>
      <c r="F231">
        <f>Summary!$B$3-D231</f>
        <v/>
      </c>
      <c r="G231">
        <f>IF(D231&gt;Summary!$B$3,"Current",IF(F231&lt;=30,"0-30",IF(F231&lt;=60,"31-60",IF(F231&lt;=90,"61-90","90+"))))</f>
        <v/>
      </c>
    </row>
    <row r="232">
      <c r="A232" t="inlineStr">
        <is>
          <t>0009007970</t>
        </is>
      </c>
      <c r="B232" t="inlineStr">
        <is>
          <t>0000100028</t>
        </is>
      </c>
      <c r="C232" s="3" t="n">
        <v>45259</v>
      </c>
      <c r="D232" s="3" t="n">
        <v>45304</v>
      </c>
      <c r="E232" s="4" t="n">
        <v>767.65</v>
      </c>
      <c r="F232">
        <f>Summary!$B$3-D232</f>
        <v/>
      </c>
      <c r="G232">
        <f>IF(D232&gt;Summary!$B$3,"Current",IF(F232&lt;=30,"0-30",IF(F232&lt;=60,"31-60",IF(F232&lt;=90,"61-90","90+"))))</f>
        <v/>
      </c>
    </row>
    <row r="233">
      <c r="A233" t="inlineStr">
        <is>
          <t>0009008048</t>
        </is>
      </c>
      <c r="B233" t="inlineStr">
        <is>
          <t>0000100577</t>
        </is>
      </c>
      <c r="C233" s="3" t="n">
        <v>45266</v>
      </c>
      <c r="D233" s="3" t="n">
        <v>45296</v>
      </c>
      <c r="E233" s="4" t="n">
        <v>217.75</v>
      </c>
      <c r="F233">
        <f>Summary!$B$3-D233</f>
        <v/>
      </c>
      <c r="G233">
        <f>IF(D233&gt;Summary!$B$3,"Current",IF(F233&lt;=30,"0-30",IF(F233&lt;=60,"31-60",IF(F233&lt;=90,"61-90","90+"))))</f>
        <v/>
      </c>
    </row>
    <row r="234">
      <c r="A234" t="inlineStr">
        <is>
          <t>0009008056</t>
        </is>
      </c>
      <c r="B234" t="inlineStr">
        <is>
          <t>0000100049</t>
        </is>
      </c>
      <c r="C234" s="3" t="n">
        <v>45266</v>
      </c>
      <c r="D234" s="3" t="n">
        <v>45296</v>
      </c>
      <c r="E234" s="4" t="n">
        <v>860.88</v>
      </c>
      <c r="F234">
        <f>Summary!$B$3-D234</f>
        <v/>
      </c>
      <c r="G234">
        <f>IF(D234&gt;Summary!$B$3,"Current",IF(F234&lt;=30,"0-30",IF(F234&lt;=60,"31-60",IF(F234&lt;=90,"61-90","90+"))))</f>
        <v/>
      </c>
    </row>
    <row r="235">
      <c r="A235" t="inlineStr">
        <is>
          <t>0009008119</t>
        </is>
      </c>
      <c r="B235" t="inlineStr">
        <is>
          <t>0000100484</t>
        </is>
      </c>
      <c r="C235" s="3" t="n">
        <v>45265</v>
      </c>
      <c r="D235" s="3" t="n">
        <v>45325</v>
      </c>
      <c r="E235" s="4" t="n">
        <v>3295.32</v>
      </c>
      <c r="F235">
        <f>Summary!$B$3-D235</f>
        <v/>
      </c>
      <c r="G235">
        <f>IF(D235&gt;Summary!$B$3,"Current",IF(F235&lt;=30,"0-30",IF(F235&lt;=60,"31-60",IF(F235&lt;=90,"61-90","90+"))))</f>
        <v/>
      </c>
    </row>
    <row r="236">
      <c r="A236" t="inlineStr">
        <is>
          <t>0009008128</t>
        </is>
      </c>
      <c r="B236" t="inlineStr">
        <is>
          <t>0000100364</t>
        </is>
      </c>
      <c r="C236" s="3" t="n">
        <v>45272</v>
      </c>
      <c r="D236" s="3" t="n">
        <v>45332</v>
      </c>
      <c r="E236" s="4" t="n">
        <v>312.74</v>
      </c>
      <c r="F236">
        <f>Summary!$B$3-D236</f>
        <v/>
      </c>
      <c r="G236">
        <f>IF(D236&gt;Summary!$B$3,"Current",IF(F236&lt;=30,"0-30",IF(F236&lt;=60,"31-60",IF(F236&lt;=90,"61-90","90+"))))</f>
        <v/>
      </c>
    </row>
    <row r="237">
      <c r="A237" t="inlineStr">
        <is>
          <t>0009008190</t>
        </is>
      </c>
      <c r="B237" t="inlineStr">
        <is>
          <t>0000100230</t>
        </is>
      </c>
      <c r="C237" s="3" t="n">
        <v>45266</v>
      </c>
      <c r="D237" s="3" t="n">
        <v>45311</v>
      </c>
      <c r="E237" s="4" t="n">
        <v>670.95</v>
      </c>
      <c r="F237">
        <f>Summary!$B$3-D237</f>
        <v/>
      </c>
      <c r="G237">
        <f>IF(D237&gt;Summary!$B$3,"Current",IF(F237&lt;=30,"0-30",IF(F237&lt;=60,"31-60",IF(F237&lt;=90,"61-90","90+"))))</f>
        <v/>
      </c>
    </row>
    <row r="238">
      <c r="A238" t="inlineStr">
        <is>
          <t>0009008214</t>
        </is>
      </c>
      <c r="B238" t="inlineStr">
        <is>
          <t>0000100364</t>
        </is>
      </c>
      <c r="C238" s="3" t="n">
        <v>45275</v>
      </c>
      <c r="D238" s="3" t="n">
        <v>45335</v>
      </c>
      <c r="E238" s="4" t="n">
        <v>5278.44</v>
      </c>
      <c r="F238">
        <f>Summary!$B$3-D238</f>
        <v/>
      </c>
      <c r="G238">
        <f>IF(D238&gt;Summary!$B$3,"Current",IF(F238&lt;=30,"0-30",IF(F238&lt;=60,"31-60",IF(F238&lt;=90,"61-90","90+"))))</f>
        <v/>
      </c>
    </row>
    <row r="239">
      <c r="A239" t="inlineStr">
        <is>
          <t>0009008226</t>
        </is>
      </c>
      <c r="B239" t="inlineStr">
        <is>
          <t>0000100453</t>
        </is>
      </c>
      <c r="C239" s="3" t="n">
        <v>45267</v>
      </c>
      <c r="D239" s="3" t="n">
        <v>45297</v>
      </c>
      <c r="E239" s="4" t="n">
        <v>537.08</v>
      </c>
      <c r="F239">
        <f>Summary!$B$3-D239</f>
        <v/>
      </c>
      <c r="G239">
        <f>IF(D239&gt;Summary!$B$3,"Current",IF(F239&lt;=30,"0-30",IF(F239&lt;=60,"31-60",IF(F239&lt;=90,"61-90","90+"))))</f>
        <v/>
      </c>
    </row>
    <row r="240">
      <c r="A240" t="inlineStr">
        <is>
          <t>0009008238</t>
        </is>
      </c>
      <c r="B240" t="inlineStr">
        <is>
          <t>0000100423</t>
        </is>
      </c>
      <c r="C240" s="3" t="n">
        <v>45271</v>
      </c>
      <c r="D240" s="3" t="n">
        <v>45316</v>
      </c>
      <c r="E240" s="4" t="n">
        <v>1024.1</v>
      </c>
      <c r="F240">
        <f>Summary!$B$3-D240</f>
        <v/>
      </c>
      <c r="G240">
        <f>IF(D240&gt;Summary!$B$3,"Current",IF(F240&lt;=30,"0-30",IF(F240&lt;=60,"31-60",IF(F240&lt;=90,"61-90","90+"))))</f>
        <v/>
      </c>
    </row>
    <row r="241">
      <c r="A241" t="inlineStr">
        <is>
          <t>0009008332</t>
        </is>
      </c>
      <c r="B241" t="inlineStr">
        <is>
          <t>0000100525</t>
        </is>
      </c>
      <c r="C241" s="3" t="n">
        <v>45271</v>
      </c>
      <c r="D241" s="3" t="n">
        <v>45316</v>
      </c>
      <c r="E241" s="4" t="n">
        <v>2751.47</v>
      </c>
      <c r="F241">
        <f>Summary!$B$3-D241</f>
        <v/>
      </c>
      <c r="G241">
        <f>IF(D241&gt;Summary!$B$3,"Current",IF(F241&lt;=30,"0-30",IF(F241&lt;=60,"31-60",IF(F241&lt;=90,"61-90","90+"))))</f>
        <v/>
      </c>
    </row>
    <row r="242">
      <c r="A242" t="inlineStr">
        <is>
          <t>0009008336</t>
        </is>
      </c>
      <c r="B242" t="inlineStr">
        <is>
          <t>0000100051</t>
        </is>
      </c>
      <c r="C242" s="3" t="n">
        <v>45269</v>
      </c>
      <c r="D242" s="3" t="n">
        <v>45329</v>
      </c>
      <c r="E242" s="4" t="n">
        <v>680.89</v>
      </c>
      <c r="F242">
        <f>Summary!$B$3-D242</f>
        <v/>
      </c>
      <c r="G242">
        <f>IF(D242&gt;Summary!$B$3,"Current",IF(F242&lt;=30,"0-30",IF(F242&lt;=60,"31-60",IF(F242&lt;=90,"61-90","90+"))))</f>
        <v/>
      </c>
    </row>
    <row r="243">
      <c r="A243" t="inlineStr">
        <is>
          <t>0009008378</t>
        </is>
      </c>
      <c r="B243" t="inlineStr">
        <is>
          <t>0000100058</t>
        </is>
      </c>
      <c r="C243" s="3" t="n">
        <v>45276</v>
      </c>
      <c r="D243" s="3" t="n">
        <v>45321</v>
      </c>
      <c r="E243" s="4" t="n">
        <v>2565.36</v>
      </c>
      <c r="F243">
        <f>Summary!$B$3-D243</f>
        <v/>
      </c>
      <c r="G243">
        <f>IF(D243&gt;Summary!$B$3,"Current",IF(F243&lt;=30,"0-30",IF(F243&lt;=60,"31-60",IF(F243&lt;=90,"61-90","90+"))))</f>
        <v/>
      </c>
    </row>
    <row r="244">
      <c r="A244" t="inlineStr">
        <is>
          <t>0009008390</t>
        </is>
      </c>
      <c r="B244" t="inlineStr">
        <is>
          <t>0000100416</t>
        </is>
      </c>
      <c r="C244" s="3" t="n">
        <v>45274</v>
      </c>
      <c r="D244" s="3" t="n">
        <v>45319</v>
      </c>
      <c r="E244" s="4" t="n">
        <v>558.84</v>
      </c>
      <c r="F244">
        <f>Summary!$B$3-D244</f>
        <v/>
      </c>
      <c r="G244">
        <f>IF(D244&gt;Summary!$B$3,"Current",IF(F244&lt;=30,"0-30",IF(F244&lt;=60,"31-60",IF(F244&lt;=90,"61-90","90+"))))</f>
        <v/>
      </c>
    </row>
    <row r="245">
      <c r="A245" t="inlineStr">
        <is>
          <t>0009008408</t>
        </is>
      </c>
      <c r="B245" t="inlineStr">
        <is>
          <t>0000100593</t>
        </is>
      </c>
      <c r="C245" s="3" t="n">
        <v>45275</v>
      </c>
      <c r="D245" s="3" t="n">
        <v>45335</v>
      </c>
      <c r="E245" s="4" t="n">
        <v>664.01</v>
      </c>
      <c r="F245">
        <f>Summary!$B$3-D245</f>
        <v/>
      </c>
      <c r="G245">
        <f>IF(D245&gt;Summary!$B$3,"Current",IF(F245&lt;=30,"0-30",IF(F245&lt;=60,"31-60",IF(F245&lt;=90,"61-90","90+"))))</f>
        <v/>
      </c>
    </row>
    <row r="246">
      <c r="A246" t="inlineStr">
        <is>
          <t>0009008427</t>
        </is>
      </c>
      <c r="B246" t="inlineStr">
        <is>
          <t>0000100206</t>
        </is>
      </c>
      <c r="C246" s="3" t="n">
        <v>45276</v>
      </c>
      <c r="D246" s="3" t="n">
        <v>45321</v>
      </c>
      <c r="E246" s="4" t="n">
        <v>222.85</v>
      </c>
      <c r="F246">
        <f>Summary!$B$3-D246</f>
        <v/>
      </c>
      <c r="G246">
        <f>IF(D246&gt;Summary!$B$3,"Current",IF(F246&lt;=30,"0-30",IF(F246&lt;=60,"31-60",IF(F246&lt;=90,"61-90","90+"))))</f>
        <v/>
      </c>
    </row>
    <row r="247">
      <c r="A247" t="inlineStr">
        <is>
          <t>0009008486</t>
        </is>
      </c>
      <c r="B247" t="inlineStr">
        <is>
          <t>0000100149</t>
        </is>
      </c>
      <c r="C247" s="3" t="n">
        <v>45275</v>
      </c>
      <c r="D247" s="3" t="n">
        <v>45335</v>
      </c>
      <c r="E247" s="4" t="n">
        <v>8520.309999999999</v>
      </c>
      <c r="F247">
        <f>Summary!$B$3-D247</f>
        <v/>
      </c>
      <c r="G247">
        <f>IF(D247&gt;Summary!$B$3,"Current",IF(F247&lt;=30,"0-30",IF(F247&lt;=60,"31-60",IF(F247&lt;=90,"61-90","90+"))))</f>
        <v/>
      </c>
    </row>
    <row r="248">
      <c r="A248" t="inlineStr">
        <is>
          <t>0009008546</t>
        </is>
      </c>
      <c r="B248" t="inlineStr">
        <is>
          <t>0000100412</t>
        </is>
      </c>
      <c r="C248" s="3" t="n">
        <v>45281</v>
      </c>
      <c r="D248" s="3" t="n">
        <v>45311</v>
      </c>
      <c r="E248" s="4" t="n">
        <v>3099.4</v>
      </c>
      <c r="F248">
        <f>Summary!$B$3-D248</f>
        <v/>
      </c>
      <c r="G248">
        <f>IF(D248&gt;Summary!$B$3,"Current",IF(F248&lt;=30,"0-30",IF(F248&lt;=60,"31-60",IF(F248&lt;=90,"61-90","90+"))))</f>
        <v/>
      </c>
    </row>
    <row r="249">
      <c r="A249" t="inlineStr">
        <is>
          <t>0009008581</t>
        </is>
      </c>
      <c r="B249" t="inlineStr">
        <is>
          <t>0000100272</t>
        </is>
      </c>
      <c r="C249" s="3" t="n">
        <v>45280</v>
      </c>
      <c r="D249" s="3" t="n">
        <v>45340</v>
      </c>
      <c r="E249" s="4" t="n">
        <v>436.06</v>
      </c>
      <c r="F249">
        <f>Summary!$B$3-D249</f>
        <v/>
      </c>
      <c r="G249">
        <f>IF(D249&gt;Summary!$B$3,"Current",IF(F249&lt;=30,"0-30",IF(F249&lt;=60,"31-60",IF(F249&lt;=90,"61-90","90+"))))</f>
        <v/>
      </c>
    </row>
    <row r="250">
      <c r="A250" t="inlineStr">
        <is>
          <t>0009008613</t>
        </is>
      </c>
      <c r="B250" t="inlineStr">
        <is>
          <t>0000100028</t>
        </is>
      </c>
      <c r="C250" s="3" t="n">
        <v>45276</v>
      </c>
      <c r="D250" s="3" t="n">
        <v>45321</v>
      </c>
      <c r="E250" s="4" t="n">
        <v>183.55</v>
      </c>
      <c r="F250">
        <f>Summary!$B$3-D250</f>
        <v/>
      </c>
      <c r="G250">
        <f>IF(D250&gt;Summary!$B$3,"Current",IF(F250&lt;=30,"0-30",IF(F250&lt;=60,"31-60",IF(F250&lt;=90,"61-90","90+"))))</f>
        <v/>
      </c>
    </row>
    <row r="251">
      <c r="A251" t="inlineStr">
        <is>
          <t>0009008693</t>
        </is>
      </c>
      <c r="B251" t="inlineStr">
        <is>
          <t>0000100007</t>
        </is>
      </c>
      <c r="C251" s="3" t="n">
        <v>45279</v>
      </c>
      <c r="D251" s="3" t="n">
        <v>45309</v>
      </c>
      <c r="E251" s="4" t="n">
        <v>357.06</v>
      </c>
      <c r="F251">
        <f>Summary!$B$3-D251</f>
        <v/>
      </c>
      <c r="G251">
        <f>IF(D251&gt;Summary!$B$3,"Current",IF(F251&lt;=30,"0-30",IF(F251&lt;=60,"31-60",IF(F251&lt;=90,"61-90","90+"))))</f>
        <v/>
      </c>
    </row>
    <row r="252">
      <c r="A252" t="inlineStr">
        <is>
          <t>0009008697</t>
        </is>
      </c>
      <c r="B252" t="inlineStr">
        <is>
          <t>0000100423</t>
        </is>
      </c>
      <c r="C252" s="3" t="n">
        <v>45286</v>
      </c>
      <c r="D252" s="3" t="n">
        <v>45331</v>
      </c>
      <c r="E252" s="4" t="n">
        <v>1685.57</v>
      </c>
      <c r="F252">
        <f>Summary!$B$3-D252</f>
        <v/>
      </c>
      <c r="G252">
        <f>IF(D252&gt;Summary!$B$3,"Current",IF(F252&lt;=30,"0-30",IF(F252&lt;=60,"31-60",IF(F252&lt;=90,"61-90","90+"))))</f>
        <v/>
      </c>
    </row>
    <row r="253">
      <c r="A253" t="inlineStr">
        <is>
          <t>0009008704</t>
        </is>
      </c>
      <c r="B253" t="inlineStr">
        <is>
          <t>0000100362</t>
        </is>
      </c>
      <c r="C253" s="3" t="n">
        <v>45282</v>
      </c>
      <c r="D253" s="3" t="n">
        <v>45312</v>
      </c>
      <c r="E253" s="4" t="n">
        <v>3093.63</v>
      </c>
      <c r="F253">
        <f>Summary!$B$3-D253</f>
        <v/>
      </c>
      <c r="G253">
        <f>IF(D253&gt;Summary!$B$3,"Current",IF(F253&lt;=30,"0-30",IF(F253&lt;=60,"31-60",IF(F253&lt;=90,"61-90","90+"))))</f>
        <v/>
      </c>
    </row>
    <row r="254">
      <c r="A254" t="inlineStr">
        <is>
          <t>0009008745</t>
        </is>
      </c>
      <c r="B254" t="inlineStr">
        <is>
          <t>0000100338</t>
        </is>
      </c>
      <c r="C254" s="3" t="n">
        <v>45290</v>
      </c>
      <c r="D254" s="3" t="n">
        <v>45350</v>
      </c>
      <c r="E254" s="4" t="n">
        <v>1335.74</v>
      </c>
      <c r="F254">
        <f>Summary!$B$3-D254</f>
        <v/>
      </c>
      <c r="G254">
        <f>IF(D254&gt;Summary!$B$3,"Current",IF(F254&lt;=30,"0-30",IF(F254&lt;=60,"31-60",IF(F254&lt;=90,"61-90","90+"))))</f>
        <v/>
      </c>
    </row>
    <row r="255">
      <c r="A255" t="inlineStr">
        <is>
          <t>0009008897</t>
        </is>
      </c>
      <c r="B255" t="inlineStr">
        <is>
          <t>0000100590</t>
        </is>
      </c>
      <c r="C255" s="3" t="n">
        <v>45292</v>
      </c>
      <c r="D255" s="3" t="n">
        <v>45322</v>
      </c>
      <c r="E255" s="4" t="n">
        <v>2165.05</v>
      </c>
      <c r="F255">
        <f>Summary!$B$3-D255</f>
        <v/>
      </c>
      <c r="G255">
        <f>IF(D255&gt;Summary!$B$3,"Current",IF(F255&lt;=30,"0-30",IF(F255&lt;=60,"31-60",IF(F255&lt;=90,"61-90","90+"))))</f>
        <v/>
      </c>
    </row>
    <row r="256">
      <c r="A256" t="inlineStr">
        <is>
          <t>0009008923</t>
        </is>
      </c>
      <c r="B256" t="inlineStr">
        <is>
          <t>0000100249</t>
        </is>
      </c>
      <c r="C256" s="3" t="n">
        <v>45288</v>
      </c>
      <c r="D256" s="3" t="n">
        <v>45348</v>
      </c>
      <c r="E256" s="4" t="n">
        <v>6906.97</v>
      </c>
      <c r="F256">
        <f>Summary!$B$3-D256</f>
        <v/>
      </c>
      <c r="G256">
        <f>IF(D256&gt;Summary!$B$3,"Current",IF(F256&lt;=30,"0-30",IF(F256&lt;=60,"31-60",IF(F256&lt;=90,"61-90","90+"))))</f>
        <v/>
      </c>
    </row>
    <row r="257">
      <c r="A257" t="inlineStr">
        <is>
          <t>0009009026</t>
        </is>
      </c>
      <c r="B257" t="inlineStr">
        <is>
          <t>0000100453</t>
        </is>
      </c>
      <c r="C257" s="3" t="n">
        <v>45290</v>
      </c>
      <c r="D257" s="3" t="n">
        <v>45320</v>
      </c>
      <c r="E257" s="4" t="n">
        <v>804.4400000000001</v>
      </c>
      <c r="F257">
        <f>Summary!$B$3-D257</f>
        <v/>
      </c>
      <c r="G257">
        <f>IF(D257&gt;Summary!$B$3,"Current",IF(F257&lt;=30,"0-30",IF(F257&lt;=60,"31-60",IF(F257&lt;=90,"61-90","90+"))))</f>
        <v/>
      </c>
    </row>
    <row r="258">
      <c r="A258" t="inlineStr">
        <is>
          <t>0009009064</t>
        </is>
      </c>
      <c r="B258" t="inlineStr">
        <is>
          <t>0000100116</t>
        </is>
      </c>
      <c r="C258" s="3" t="n">
        <v>45295</v>
      </c>
      <c r="D258" s="3" t="n">
        <v>45340</v>
      </c>
      <c r="E258" s="4" t="n">
        <v>343.24</v>
      </c>
      <c r="F258">
        <f>Summary!$B$3-D258</f>
        <v/>
      </c>
      <c r="G258">
        <f>IF(D258&gt;Summary!$B$3,"Current",IF(F258&lt;=30,"0-30",IF(F258&lt;=60,"31-60",IF(F258&lt;=90,"61-90","90+"))))</f>
        <v/>
      </c>
    </row>
    <row r="259">
      <c r="A259" t="inlineStr">
        <is>
          <t>0009009133</t>
        </is>
      </c>
      <c r="B259" t="inlineStr">
        <is>
          <t>0000100208</t>
        </is>
      </c>
      <c r="C259" s="3" t="n">
        <v>45298</v>
      </c>
      <c r="D259" s="3" t="n">
        <v>45343</v>
      </c>
      <c r="E259" s="4" t="n">
        <v>445.71</v>
      </c>
      <c r="F259">
        <f>Summary!$B$3-D259</f>
        <v/>
      </c>
      <c r="G259">
        <f>IF(D259&gt;Summary!$B$3,"Current",IF(F259&lt;=30,"0-30",IF(F259&lt;=60,"31-60",IF(F259&lt;=90,"61-90","90+"))))</f>
        <v/>
      </c>
    </row>
    <row r="260">
      <c r="A260" t="inlineStr">
        <is>
          <t>0009009144</t>
        </is>
      </c>
      <c r="B260" t="inlineStr">
        <is>
          <t>0000100111</t>
        </is>
      </c>
      <c r="C260" s="3" t="n">
        <v>45301</v>
      </c>
      <c r="D260" s="3" t="n">
        <v>45346</v>
      </c>
      <c r="E260" s="4" t="n">
        <v>255.87</v>
      </c>
      <c r="F260">
        <f>Summary!$B$3-D260</f>
        <v/>
      </c>
      <c r="G260">
        <f>IF(D260&gt;Summary!$B$3,"Current",IF(F260&lt;=30,"0-30",IF(F260&lt;=60,"31-60",IF(F260&lt;=90,"61-90","90+"))))</f>
        <v/>
      </c>
    </row>
    <row r="261">
      <c r="A261" t="inlineStr">
        <is>
          <t>0009009176</t>
        </is>
      </c>
      <c r="B261" t="inlineStr">
        <is>
          <t>0000100541</t>
        </is>
      </c>
      <c r="C261" s="3" t="n">
        <v>45293</v>
      </c>
      <c r="D261" s="3" t="n">
        <v>45338</v>
      </c>
      <c r="E261" s="4" t="n">
        <v>895.87</v>
      </c>
      <c r="F261">
        <f>Summary!$B$3-D261</f>
        <v/>
      </c>
      <c r="G261">
        <f>IF(D261&gt;Summary!$B$3,"Current",IF(F261&lt;=30,"0-30",IF(F261&lt;=60,"31-60",IF(F261&lt;=90,"61-90","90+"))))</f>
        <v/>
      </c>
    </row>
    <row r="262">
      <c r="A262" t="inlineStr">
        <is>
          <t>0009009233</t>
        </is>
      </c>
      <c r="B262" t="inlineStr">
        <is>
          <t>0000100380</t>
        </is>
      </c>
      <c r="C262" s="3" t="n">
        <v>45298</v>
      </c>
      <c r="D262" s="3" t="n">
        <v>45358</v>
      </c>
      <c r="E262" s="4" t="n">
        <v>1768.63</v>
      </c>
      <c r="F262">
        <f>Summary!$B$3-D262</f>
        <v/>
      </c>
      <c r="G262">
        <f>IF(D262&gt;Summary!$B$3,"Current",IF(F262&lt;=30,"0-30",IF(F262&lt;=60,"31-60",IF(F262&lt;=90,"61-90","90+"))))</f>
        <v/>
      </c>
    </row>
    <row r="263">
      <c r="A263" t="inlineStr">
        <is>
          <t>0009009239</t>
        </is>
      </c>
      <c r="B263" t="inlineStr">
        <is>
          <t>0000100203</t>
        </is>
      </c>
      <c r="C263" s="3" t="n">
        <v>45298</v>
      </c>
      <c r="D263" s="3" t="n">
        <v>45343</v>
      </c>
      <c r="E263" s="4" t="n">
        <v>2111.77</v>
      </c>
      <c r="F263">
        <f>Summary!$B$3-D263</f>
        <v/>
      </c>
      <c r="G263">
        <f>IF(D263&gt;Summary!$B$3,"Current",IF(F263&lt;=30,"0-30",IF(F263&lt;=60,"31-60",IF(F263&lt;=90,"61-90","90+"))))</f>
        <v/>
      </c>
    </row>
    <row r="264">
      <c r="A264" t="inlineStr">
        <is>
          <t>0009009266</t>
        </is>
      </c>
      <c r="B264" t="inlineStr">
        <is>
          <t>0000100400</t>
        </is>
      </c>
      <c r="C264" s="3" t="n">
        <v>45304</v>
      </c>
      <c r="D264" s="3" t="n">
        <v>45334</v>
      </c>
      <c r="E264" s="4" t="n">
        <v>1446.28</v>
      </c>
      <c r="F264">
        <f>Summary!$B$3-D264</f>
        <v/>
      </c>
      <c r="G264">
        <f>IF(D264&gt;Summary!$B$3,"Current",IF(F264&lt;=30,"0-30",IF(F264&lt;=60,"31-60",IF(F264&lt;=90,"61-90","90+"))))</f>
        <v/>
      </c>
    </row>
    <row r="265">
      <c r="A265" t="inlineStr">
        <is>
          <t>0009009276</t>
        </is>
      </c>
      <c r="B265" t="inlineStr">
        <is>
          <t>0000100163</t>
        </is>
      </c>
      <c r="C265" s="3" t="n">
        <v>45302</v>
      </c>
      <c r="D265" s="3" t="n">
        <v>45332</v>
      </c>
      <c r="E265" s="4" t="n">
        <v>6139.03</v>
      </c>
      <c r="F265">
        <f>Summary!$B$3-D265</f>
        <v/>
      </c>
      <c r="G265">
        <f>IF(D265&gt;Summary!$B$3,"Current",IF(F265&lt;=30,"0-30",IF(F265&lt;=60,"31-60",IF(F265&lt;=90,"61-90","90+"))))</f>
        <v/>
      </c>
    </row>
    <row r="266">
      <c r="A266" t="inlineStr">
        <is>
          <t>0009009291</t>
        </is>
      </c>
      <c r="B266" t="inlineStr">
        <is>
          <t>0000100313</t>
        </is>
      </c>
      <c r="C266" s="3" t="n">
        <v>45299</v>
      </c>
      <c r="D266" s="3" t="n">
        <v>45359</v>
      </c>
      <c r="E266" s="4" t="n">
        <v>1505.93</v>
      </c>
      <c r="F266">
        <f>Summary!$B$3-D266</f>
        <v/>
      </c>
      <c r="G266">
        <f>IF(D266&gt;Summary!$B$3,"Current",IF(F266&lt;=30,"0-30",IF(F266&lt;=60,"31-60",IF(F266&lt;=90,"61-90","90+"))))</f>
        <v/>
      </c>
    </row>
    <row r="267">
      <c r="A267" t="inlineStr">
        <is>
          <t>0009009315</t>
        </is>
      </c>
      <c r="B267" t="inlineStr">
        <is>
          <t>0000100046</t>
        </is>
      </c>
      <c r="C267" s="3" t="n">
        <v>45305</v>
      </c>
      <c r="D267" s="3" t="n">
        <v>45335</v>
      </c>
      <c r="E267" s="4" t="n">
        <v>280.6</v>
      </c>
      <c r="F267">
        <f>Summary!$B$3-D267</f>
        <v/>
      </c>
      <c r="G267">
        <f>IF(D267&gt;Summary!$B$3,"Current",IF(F267&lt;=30,"0-30",IF(F267&lt;=60,"31-60",IF(F267&lt;=90,"61-90","90+"))))</f>
        <v/>
      </c>
    </row>
    <row r="268">
      <c r="A268" t="inlineStr">
        <is>
          <t>0009009349</t>
        </is>
      </c>
      <c r="B268" t="inlineStr">
        <is>
          <t>0000100521</t>
        </is>
      </c>
      <c r="C268" s="3" t="n">
        <v>45305</v>
      </c>
      <c r="D268" s="3" t="n">
        <v>45335</v>
      </c>
      <c r="E268" s="4" t="n">
        <v>668.55</v>
      </c>
      <c r="F268">
        <f>Summary!$B$3-D268</f>
        <v/>
      </c>
      <c r="G268">
        <f>IF(D268&gt;Summary!$B$3,"Current",IF(F268&lt;=30,"0-30",IF(F268&lt;=60,"31-60",IF(F268&lt;=90,"61-90","90+"))))</f>
        <v/>
      </c>
    </row>
    <row r="269">
      <c r="A269" t="inlineStr">
        <is>
          <t>0009009366</t>
        </is>
      </c>
      <c r="B269" t="inlineStr">
        <is>
          <t>0000100291</t>
        </is>
      </c>
      <c r="C269" s="3" t="n">
        <v>45308</v>
      </c>
      <c r="D269" s="3" t="n">
        <v>45368</v>
      </c>
      <c r="E269" s="4" t="n">
        <v>1446.03</v>
      </c>
      <c r="F269">
        <f>Summary!$B$3-D269</f>
        <v/>
      </c>
      <c r="G269">
        <f>IF(D269&gt;Summary!$B$3,"Current",IF(F269&lt;=30,"0-30",IF(F269&lt;=60,"31-60",IF(F269&lt;=90,"61-90","90+"))))</f>
        <v/>
      </c>
    </row>
    <row r="270">
      <c r="A270" t="inlineStr">
        <is>
          <t>0009009375</t>
        </is>
      </c>
      <c r="B270" t="inlineStr">
        <is>
          <t>0000100289</t>
        </is>
      </c>
      <c r="C270" s="3" t="n">
        <v>45312</v>
      </c>
      <c r="D270" s="3" t="n">
        <v>45357</v>
      </c>
      <c r="E270" s="4" t="n">
        <v>575.08</v>
      </c>
      <c r="F270">
        <f>Summary!$B$3-D270</f>
        <v/>
      </c>
      <c r="G270">
        <f>IF(D270&gt;Summary!$B$3,"Current",IF(F270&lt;=30,"0-30",IF(F270&lt;=60,"31-60",IF(F270&lt;=90,"61-90","90+"))))</f>
        <v/>
      </c>
    </row>
    <row r="271">
      <c r="A271" t="inlineStr">
        <is>
          <t>0009009434</t>
        </is>
      </c>
      <c r="B271" t="inlineStr">
        <is>
          <t>0000100345</t>
        </is>
      </c>
      <c r="C271" s="3" t="n">
        <v>45312</v>
      </c>
      <c r="D271" s="3" t="n">
        <v>45342</v>
      </c>
      <c r="E271" s="4" t="n">
        <v>285.71</v>
      </c>
      <c r="F271">
        <f>Summary!$B$3-D271</f>
        <v/>
      </c>
      <c r="G271">
        <f>IF(D271&gt;Summary!$B$3,"Current",IF(F271&lt;=30,"0-30",IF(F271&lt;=60,"31-60",IF(F271&lt;=90,"61-90","90+"))))</f>
        <v/>
      </c>
    </row>
    <row r="272">
      <c r="A272" t="inlineStr">
        <is>
          <t>0009009458</t>
        </is>
      </c>
      <c r="B272" t="inlineStr">
        <is>
          <t>0000100260</t>
        </is>
      </c>
      <c r="C272" s="3" t="n">
        <v>45310</v>
      </c>
      <c r="D272" s="3" t="n">
        <v>45355</v>
      </c>
      <c r="E272" s="4" t="n">
        <v>488.04</v>
      </c>
      <c r="F272">
        <f>Summary!$B$3-D272</f>
        <v/>
      </c>
      <c r="G272">
        <f>IF(D272&gt;Summary!$B$3,"Current",IF(F272&lt;=30,"0-30",IF(F272&lt;=60,"31-60",IF(F272&lt;=90,"61-90","90+"))))</f>
        <v/>
      </c>
    </row>
    <row r="273">
      <c r="A273" t="inlineStr">
        <is>
          <t>0009009475</t>
        </is>
      </c>
      <c r="B273" t="inlineStr">
        <is>
          <t>0000100529</t>
        </is>
      </c>
      <c r="C273" s="3" t="n">
        <v>45314</v>
      </c>
      <c r="D273" s="3" t="n">
        <v>45374</v>
      </c>
      <c r="E273" s="4" t="n">
        <v>307.05</v>
      </c>
      <c r="F273">
        <f>Summary!$B$3-D273</f>
        <v/>
      </c>
      <c r="G273">
        <f>IF(D273&gt;Summary!$B$3,"Current",IF(F273&lt;=30,"0-30",IF(F273&lt;=60,"31-60",IF(F273&lt;=90,"61-90","90+"))))</f>
        <v/>
      </c>
    </row>
    <row r="274">
      <c r="A274" t="inlineStr">
        <is>
          <t>0009009495</t>
        </is>
      </c>
      <c r="B274" t="inlineStr">
        <is>
          <t>0000100089</t>
        </is>
      </c>
      <c r="C274" s="3" t="n">
        <v>45314</v>
      </c>
      <c r="D274" s="3" t="n">
        <v>45359</v>
      </c>
      <c r="E274" s="4" t="n">
        <v>1247.87</v>
      </c>
      <c r="F274">
        <f>Summary!$B$3-D274</f>
        <v/>
      </c>
      <c r="G274">
        <f>IF(D274&gt;Summary!$B$3,"Current",IF(F274&lt;=30,"0-30",IF(F274&lt;=60,"31-60",IF(F274&lt;=90,"61-90","90+"))))</f>
        <v/>
      </c>
    </row>
    <row r="275">
      <c r="A275" t="inlineStr">
        <is>
          <t>0009009529</t>
        </is>
      </c>
      <c r="B275" t="inlineStr">
        <is>
          <t>0000100545</t>
        </is>
      </c>
      <c r="C275" s="3" t="n">
        <v>45316</v>
      </c>
      <c r="D275" s="3" t="n">
        <v>45346</v>
      </c>
      <c r="E275" s="4" t="n">
        <v>116.87</v>
      </c>
      <c r="F275">
        <f>Summary!$B$3-D275</f>
        <v/>
      </c>
      <c r="G275">
        <f>IF(D275&gt;Summary!$B$3,"Current",IF(F275&lt;=30,"0-30",IF(F275&lt;=60,"31-60",IF(F275&lt;=90,"61-90","90+"))))</f>
        <v/>
      </c>
    </row>
    <row r="276">
      <c r="A276" t="inlineStr">
        <is>
          <t>0009009594</t>
        </is>
      </c>
      <c r="B276" t="inlineStr">
        <is>
          <t>0000100429</t>
        </is>
      </c>
      <c r="C276" s="3" t="n">
        <v>45322</v>
      </c>
      <c r="D276" s="3" t="n">
        <v>45352</v>
      </c>
      <c r="E276" s="4" t="n">
        <v>417.84</v>
      </c>
      <c r="F276">
        <f>Summary!$B$3-D276</f>
        <v/>
      </c>
      <c r="G276">
        <f>IF(D276&gt;Summary!$B$3,"Current",IF(F276&lt;=30,"0-30",IF(F276&lt;=60,"31-60",IF(F276&lt;=90,"61-90","90+"))))</f>
        <v/>
      </c>
    </row>
    <row r="277">
      <c r="A277" t="inlineStr">
        <is>
          <t>0009009607</t>
        </is>
      </c>
      <c r="B277" t="inlineStr">
        <is>
          <t>0000100058</t>
        </is>
      </c>
      <c r="C277" s="3" t="n">
        <v>45318</v>
      </c>
      <c r="D277" s="3" t="n">
        <v>45363</v>
      </c>
      <c r="E277" s="4" t="n">
        <v>410.03</v>
      </c>
      <c r="F277">
        <f>Summary!$B$3-D277</f>
        <v/>
      </c>
      <c r="G277">
        <f>IF(D277&gt;Summary!$B$3,"Current",IF(F277&lt;=30,"0-30",IF(F277&lt;=60,"31-60",IF(F277&lt;=90,"61-90","90+"))))</f>
        <v/>
      </c>
    </row>
    <row r="278">
      <c r="A278" t="inlineStr">
        <is>
          <t>0009009647</t>
        </is>
      </c>
      <c r="B278" t="inlineStr">
        <is>
          <t>0000100291</t>
        </is>
      </c>
      <c r="C278" s="3" t="n">
        <v>45324</v>
      </c>
      <c r="D278" s="3" t="n">
        <v>45384</v>
      </c>
      <c r="E278" s="4" t="n">
        <v>847.24</v>
      </c>
      <c r="F278">
        <f>Summary!$B$3-D278</f>
        <v/>
      </c>
      <c r="G278">
        <f>IF(D278&gt;Summary!$B$3,"Current",IF(F278&lt;=30,"0-30",IF(F278&lt;=60,"31-60",IF(F278&lt;=90,"61-90","90+"))))</f>
        <v/>
      </c>
    </row>
    <row r="279">
      <c r="A279" t="inlineStr">
        <is>
          <t>0009009659</t>
        </is>
      </c>
      <c r="B279" t="inlineStr">
        <is>
          <t>0000100296</t>
        </is>
      </c>
      <c r="C279" s="3" t="n">
        <v>45320</v>
      </c>
      <c r="D279" s="3" t="n">
        <v>45350</v>
      </c>
      <c r="E279" s="4" t="n">
        <v>852.21</v>
      </c>
      <c r="F279">
        <f>Summary!$B$3-D279</f>
        <v/>
      </c>
      <c r="G279">
        <f>IF(D279&gt;Summary!$B$3,"Current",IF(F279&lt;=30,"0-30",IF(F279&lt;=60,"31-60",IF(F279&lt;=90,"61-90","90+"))))</f>
        <v/>
      </c>
    </row>
    <row r="280">
      <c r="A280" t="inlineStr">
        <is>
          <t>0009009669</t>
        </is>
      </c>
      <c r="B280" t="inlineStr">
        <is>
          <t>0000100423</t>
        </is>
      </c>
      <c r="C280" s="3" t="n">
        <v>45322</v>
      </c>
      <c r="D280" s="3" t="n">
        <v>45367</v>
      </c>
      <c r="E280" s="4" t="n">
        <v>840.12</v>
      </c>
      <c r="F280">
        <f>Summary!$B$3-D280</f>
        <v/>
      </c>
      <c r="G280">
        <f>IF(D280&gt;Summary!$B$3,"Current",IF(F280&lt;=30,"0-30",IF(F280&lt;=60,"31-60",IF(F280&lt;=90,"61-90","90+"))))</f>
        <v/>
      </c>
    </row>
    <row r="281">
      <c r="A281" t="inlineStr">
        <is>
          <t>0009009775</t>
        </is>
      </c>
      <c r="B281" t="inlineStr">
        <is>
          <t>0000100000</t>
        </is>
      </c>
      <c r="C281" s="3" t="n">
        <v>45327</v>
      </c>
      <c r="D281" s="3" t="n">
        <v>45357</v>
      </c>
      <c r="E281" s="4" t="n">
        <v>807.3099999999999</v>
      </c>
      <c r="F281">
        <f>Summary!$B$3-D281</f>
        <v/>
      </c>
      <c r="G281">
        <f>IF(D281&gt;Summary!$B$3,"Current",IF(F281&lt;=30,"0-30",IF(F281&lt;=60,"31-60",IF(F281&lt;=90,"61-90","90+"))))</f>
        <v/>
      </c>
    </row>
    <row r="282">
      <c r="A282" t="inlineStr">
        <is>
          <t>0009009787</t>
        </is>
      </c>
      <c r="B282" t="inlineStr">
        <is>
          <t>0000100380</t>
        </is>
      </c>
      <c r="C282" s="3" t="n">
        <v>45321</v>
      </c>
      <c r="D282" s="3" t="n">
        <v>45381</v>
      </c>
      <c r="E282" s="4" t="n">
        <v>2599.84</v>
      </c>
      <c r="F282">
        <f>Summary!$B$3-D282</f>
        <v/>
      </c>
      <c r="G282">
        <f>IF(D282&gt;Summary!$B$3,"Current",IF(F282&lt;=30,"0-30",IF(F282&lt;=60,"31-60",IF(F282&lt;=90,"61-90","90+"))))</f>
        <v/>
      </c>
    </row>
    <row r="283">
      <c r="A283" t="inlineStr">
        <is>
          <t>0009009838</t>
        </is>
      </c>
      <c r="B283" t="inlineStr">
        <is>
          <t>0000100216</t>
        </is>
      </c>
      <c r="C283" s="3" t="n">
        <v>45328</v>
      </c>
      <c r="D283" s="3" t="n">
        <v>45388</v>
      </c>
      <c r="E283" s="4" t="n">
        <v>555</v>
      </c>
      <c r="F283">
        <f>Summary!$B$3-D283</f>
        <v/>
      </c>
      <c r="G283">
        <f>IF(D283&gt;Summary!$B$3,"Current",IF(F283&lt;=30,"0-30",IF(F283&lt;=60,"31-60",IF(F283&lt;=90,"61-90","90+"))))</f>
        <v/>
      </c>
    </row>
    <row r="284">
      <c r="A284" t="inlineStr">
        <is>
          <t>0009009842</t>
        </is>
      </c>
      <c r="B284" t="inlineStr">
        <is>
          <t>0000100095</t>
        </is>
      </c>
      <c r="C284" s="3" t="n">
        <v>45327</v>
      </c>
      <c r="D284" s="3" t="n">
        <v>45372</v>
      </c>
      <c r="E284" s="4" t="n">
        <v>701.16</v>
      </c>
      <c r="F284">
        <f>Summary!$B$3-D284</f>
        <v/>
      </c>
      <c r="G284">
        <f>IF(D284&gt;Summary!$B$3,"Current",IF(F284&lt;=30,"0-30",IF(F284&lt;=60,"31-60",IF(F284&lt;=90,"61-90","90+"))))</f>
        <v/>
      </c>
    </row>
    <row r="285">
      <c r="A285" t="inlineStr">
        <is>
          <t>0009009851</t>
        </is>
      </c>
      <c r="B285" t="inlineStr">
        <is>
          <t>0000100073</t>
        </is>
      </c>
      <c r="C285" s="3" t="n">
        <v>45334</v>
      </c>
      <c r="D285" s="3" t="n">
        <v>45379</v>
      </c>
      <c r="E285" s="4" t="n">
        <v>808.47</v>
      </c>
      <c r="F285">
        <f>Summary!$B$3-D285</f>
        <v/>
      </c>
      <c r="G285">
        <f>IF(D285&gt;Summary!$B$3,"Current",IF(F285&lt;=30,"0-30",IF(F285&lt;=60,"31-60",IF(F285&lt;=90,"61-90","90+"))))</f>
        <v/>
      </c>
    </row>
    <row r="286">
      <c r="A286" t="inlineStr">
        <is>
          <t>0009009852</t>
        </is>
      </c>
      <c r="B286" t="inlineStr">
        <is>
          <t>0000100262</t>
        </is>
      </c>
      <c r="C286" s="3" t="n">
        <v>45329</v>
      </c>
      <c r="D286" s="3" t="n">
        <v>45374</v>
      </c>
      <c r="E286" s="4" t="n">
        <v>942.39</v>
      </c>
      <c r="F286">
        <f>Summary!$B$3-D286</f>
        <v/>
      </c>
      <c r="G286">
        <f>IF(D286&gt;Summary!$B$3,"Current",IF(F286&lt;=30,"0-30",IF(F286&lt;=60,"31-60",IF(F286&lt;=90,"61-90","90+"))))</f>
        <v/>
      </c>
    </row>
    <row r="287">
      <c r="A287" t="inlineStr">
        <is>
          <t>0009009872</t>
        </is>
      </c>
      <c r="B287" t="inlineStr">
        <is>
          <t>0000100416</t>
        </is>
      </c>
      <c r="C287" s="3" t="n">
        <v>45332</v>
      </c>
      <c r="D287" s="3" t="n">
        <v>45377</v>
      </c>
      <c r="E287" s="4" t="n">
        <v>1131.75</v>
      </c>
      <c r="F287">
        <f>Summary!$B$3-D287</f>
        <v/>
      </c>
      <c r="G287">
        <f>IF(D287&gt;Summary!$B$3,"Current",IF(F287&lt;=30,"0-30",IF(F287&lt;=60,"31-60",IF(F287&lt;=90,"61-90","90+"))))</f>
        <v/>
      </c>
    </row>
    <row r="288">
      <c r="A288" t="inlineStr">
        <is>
          <t>0009009898</t>
        </is>
      </c>
      <c r="B288" t="inlineStr">
        <is>
          <t>0000100201</t>
        </is>
      </c>
      <c r="C288" s="3" t="n">
        <v>45333</v>
      </c>
      <c r="D288" s="3" t="n">
        <v>45363</v>
      </c>
      <c r="E288" s="4" t="n">
        <v>723.36</v>
      </c>
      <c r="F288">
        <f>Summary!$B$3-D288</f>
        <v/>
      </c>
      <c r="G288">
        <f>IF(D288&gt;Summary!$B$3,"Current",IF(F288&lt;=30,"0-30",IF(F288&lt;=60,"31-60",IF(F288&lt;=90,"61-90","90+"))))</f>
        <v/>
      </c>
    </row>
    <row r="289">
      <c r="A289" t="inlineStr">
        <is>
          <t>0009009991</t>
        </is>
      </c>
      <c r="B289" t="inlineStr">
        <is>
          <t>0000100570</t>
        </is>
      </c>
      <c r="C289" s="3" t="n">
        <v>45327</v>
      </c>
      <c r="D289" s="3" t="n">
        <v>45357</v>
      </c>
      <c r="E289" s="4" t="n">
        <v>1523.02</v>
      </c>
      <c r="F289">
        <f>Summary!$B$3-D289</f>
        <v/>
      </c>
      <c r="G289">
        <f>IF(D289&gt;Summary!$B$3,"Current",IF(F289&lt;=30,"0-30",IF(F289&lt;=60,"31-60",IF(F289&lt;=90,"61-90","90+"))))</f>
        <v/>
      </c>
    </row>
    <row r="290">
      <c r="A290" t="inlineStr">
        <is>
          <t>0009009996</t>
        </is>
      </c>
      <c r="B290" t="inlineStr">
        <is>
          <t>0000100097</t>
        </is>
      </c>
      <c r="C290" s="3" t="n">
        <v>45332</v>
      </c>
      <c r="D290" s="3" t="n">
        <v>45377</v>
      </c>
      <c r="E290" s="4" t="n">
        <v>3455.54</v>
      </c>
      <c r="F290">
        <f>Summary!$B$3-D290</f>
        <v/>
      </c>
      <c r="G290">
        <f>IF(D290&gt;Summary!$B$3,"Current",IF(F290&lt;=30,"0-30",IF(F290&lt;=60,"31-60",IF(F290&lt;=90,"61-90","90+"))))</f>
        <v/>
      </c>
    </row>
    <row r="291">
      <c r="A291" t="inlineStr">
        <is>
          <t>0009010007</t>
        </is>
      </c>
      <c r="B291" t="inlineStr">
        <is>
          <t>0000100267</t>
        </is>
      </c>
      <c r="C291" s="3" t="n">
        <v>45336</v>
      </c>
      <c r="D291" s="3" t="n">
        <v>45381</v>
      </c>
      <c r="E291" s="4" t="n">
        <v>1778.96</v>
      </c>
      <c r="F291">
        <f>Summary!$B$3-D291</f>
        <v/>
      </c>
      <c r="G291">
        <f>IF(D291&gt;Summary!$B$3,"Current",IF(F291&lt;=30,"0-30",IF(F291&lt;=60,"31-60",IF(F291&lt;=90,"61-90","90+"))))</f>
        <v/>
      </c>
    </row>
    <row r="292">
      <c r="A292" t="inlineStr">
        <is>
          <t>0009010064</t>
        </is>
      </c>
      <c r="B292" t="inlineStr">
        <is>
          <t>0000100007</t>
        </is>
      </c>
      <c r="C292" s="3" t="n">
        <v>45337</v>
      </c>
      <c r="D292" s="3" t="n">
        <v>45367</v>
      </c>
      <c r="E292" s="4" t="n">
        <v>274.92</v>
      </c>
      <c r="F292">
        <f>Summary!$B$3-D292</f>
        <v/>
      </c>
      <c r="G292">
        <f>IF(D292&gt;Summary!$B$3,"Current",IF(F292&lt;=30,"0-30",IF(F292&lt;=60,"31-60",IF(F292&lt;=90,"61-90","90+"))))</f>
        <v/>
      </c>
    </row>
    <row r="293">
      <c r="A293" t="inlineStr">
        <is>
          <t>0009010071</t>
        </is>
      </c>
      <c r="B293" t="inlineStr">
        <is>
          <t>0000100253</t>
        </is>
      </c>
      <c r="C293" s="3" t="n">
        <v>45344</v>
      </c>
      <c r="D293" s="3" t="n">
        <v>45404</v>
      </c>
      <c r="E293" s="4" t="n">
        <v>2285.44</v>
      </c>
      <c r="F293">
        <f>Summary!$B$3-D293</f>
        <v/>
      </c>
      <c r="G293">
        <f>IF(D293&gt;Summary!$B$3,"Current",IF(F293&lt;=30,"0-30",IF(F293&lt;=60,"31-60",IF(F293&lt;=90,"61-90","90+"))))</f>
        <v/>
      </c>
    </row>
    <row r="294">
      <c r="A294" t="inlineStr">
        <is>
          <t>0009010108</t>
        </is>
      </c>
      <c r="B294" t="inlineStr">
        <is>
          <t>0000100095</t>
        </is>
      </c>
      <c r="C294" s="3" t="n">
        <v>45338</v>
      </c>
      <c r="D294" s="3" t="n">
        <v>45383</v>
      </c>
      <c r="E294" s="4" t="n">
        <v>738.54</v>
      </c>
      <c r="F294">
        <f>Summary!$B$3-D294</f>
        <v/>
      </c>
      <c r="G294">
        <f>IF(D294&gt;Summary!$B$3,"Current",IF(F294&lt;=30,"0-30",IF(F294&lt;=60,"31-60",IF(F294&lt;=90,"61-90","90+"))))</f>
        <v/>
      </c>
    </row>
    <row r="295">
      <c r="A295" t="inlineStr">
        <is>
          <t>0009010130</t>
        </is>
      </c>
      <c r="B295" t="inlineStr">
        <is>
          <t>0000100536</t>
        </is>
      </c>
      <c r="C295" s="3" t="n">
        <v>45341</v>
      </c>
      <c r="D295" s="3" t="n">
        <v>45371</v>
      </c>
      <c r="E295" s="4" t="n">
        <v>632.4</v>
      </c>
      <c r="F295">
        <f>Summary!$B$3-D295</f>
        <v/>
      </c>
      <c r="G295">
        <f>IF(D295&gt;Summary!$B$3,"Current",IF(F295&lt;=30,"0-30",IF(F295&lt;=60,"31-60",IF(F295&lt;=90,"61-90","90+"))))</f>
        <v/>
      </c>
    </row>
    <row r="296">
      <c r="A296" t="inlineStr">
        <is>
          <t>0009010139</t>
        </is>
      </c>
      <c r="B296" t="inlineStr">
        <is>
          <t>0000100206</t>
        </is>
      </c>
      <c r="C296" s="3" t="n">
        <v>45341</v>
      </c>
      <c r="D296" s="3" t="n">
        <v>45386</v>
      </c>
      <c r="E296" s="4" t="n">
        <v>1354.2</v>
      </c>
      <c r="F296">
        <f>Summary!$B$3-D296</f>
        <v/>
      </c>
      <c r="G296">
        <f>IF(D296&gt;Summary!$B$3,"Current",IF(F296&lt;=30,"0-30",IF(F296&lt;=60,"31-60",IF(F296&lt;=90,"61-90","90+"))))</f>
        <v/>
      </c>
    </row>
    <row r="297">
      <c r="A297" t="inlineStr">
        <is>
          <t>0009010193</t>
        </is>
      </c>
      <c r="B297" t="inlineStr">
        <is>
          <t>0000100228</t>
        </is>
      </c>
      <c r="C297" s="3" t="n">
        <v>45344</v>
      </c>
      <c r="D297" s="3" t="n">
        <v>45404</v>
      </c>
      <c r="E297" s="4" t="n">
        <v>3321.32</v>
      </c>
      <c r="F297">
        <f>Summary!$B$3-D297</f>
        <v/>
      </c>
      <c r="G297">
        <f>IF(D297&gt;Summary!$B$3,"Current",IF(F297&lt;=30,"0-30",IF(F297&lt;=60,"31-60",IF(F297&lt;=90,"61-90","90+"))))</f>
        <v/>
      </c>
    </row>
    <row r="298">
      <c r="A298" t="inlineStr">
        <is>
          <t>0009010198</t>
        </is>
      </c>
      <c r="B298" t="inlineStr">
        <is>
          <t>0000100444</t>
        </is>
      </c>
      <c r="C298" s="3" t="n">
        <v>45348</v>
      </c>
      <c r="D298" s="3" t="n">
        <v>45378</v>
      </c>
      <c r="E298" s="4" t="n">
        <v>799.3099999999999</v>
      </c>
      <c r="F298">
        <f>Summary!$B$3-D298</f>
        <v/>
      </c>
      <c r="G298">
        <f>IF(D298&gt;Summary!$B$3,"Current",IF(F298&lt;=30,"0-30",IF(F298&lt;=60,"31-60",IF(F298&lt;=90,"61-90","90+"))))</f>
        <v/>
      </c>
    </row>
    <row r="299">
      <c r="A299" t="inlineStr">
        <is>
          <t>0009010258</t>
        </is>
      </c>
      <c r="B299" t="inlineStr">
        <is>
          <t>0000100071</t>
        </is>
      </c>
      <c r="C299" s="3" t="n">
        <v>45348</v>
      </c>
      <c r="D299" s="3" t="n">
        <v>45393</v>
      </c>
      <c r="E299" s="4" t="n">
        <v>2094.92</v>
      </c>
      <c r="F299">
        <f>Summary!$B$3-D299</f>
        <v/>
      </c>
      <c r="G299">
        <f>IF(D299&gt;Summary!$B$3,"Current",IF(F299&lt;=30,"0-30",IF(F299&lt;=60,"31-60",IF(F299&lt;=90,"61-90","90+"))))</f>
        <v/>
      </c>
    </row>
    <row r="300">
      <c r="A300" t="inlineStr">
        <is>
          <t>0009010377</t>
        </is>
      </c>
      <c r="B300" t="inlineStr">
        <is>
          <t>0000100064</t>
        </is>
      </c>
      <c r="C300" s="3" t="n">
        <v>45347</v>
      </c>
      <c r="D300" s="3" t="n">
        <v>45377</v>
      </c>
      <c r="E300" s="4" t="n">
        <v>295.42</v>
      </c>
      <c r="F300">
        <f>Summary!$B$3-D300</f>
        <v/>
      </c>
      <c r="G300">
        <f>IF(D300&gt;Summary!$B$3,"Current",IF(F300&lt;=30,"0-30",IF(F300&lt;=60,"31-60",IF(F300&lt;=90,"61-90","90+"))))</f>
        <v/>
      </c>
    </row>
    <row r="301">
      <c r="A301" t="inlineStr">
        <is>
          <t>0009010382</t>
        </is>
      </c>
      <c r="B301" t="inlineStr">
        <is>
          <t>0000100458</t>
        </is>
      </c>
      <c r="C301" s="3" t="n">
        <v>45350</v>
      </c>
      <c r="D301" s="3" t="n">
        <v>45395</v>
      </c>
      <c r="E301" s="4" t="n">
        <v>220.8</v>
      </c>
      <c r="F301">
        <f>Summary!$B$3-D301</f>
        <v/>
      </c>
      <c r="G301">
        <f>IF(D301&gt;Summary!$B$3,"Current",IF(F301&lt;=30,"0-30",IF(F301&lt;=60,"31-60",IF(F301&lt;=90,"61-90","90+"))))</f>
        <v/>
      </c>
    </row>
    <row r="302">
      <c r="A302" t="inlineStr">
        <is>
          <t>0009010405</t>
        </is>
      </c>
      <c r="B302" t="inlineStr">
        <is>
          <t>0000100324</t>
        </is>
      </c>
      <c r="C302" s="3" t="n">
        <v>45352</v>
      </c>
      <c r="D302" s="3" t="n">
        <v>45382</v>
      </c>
      <c r="E302" s="4" t="n">
        <v>3450.84</v>
      </c>
      <c r="F302">
        <f>Summary!$B$3-D302</f>
        <v/>
      </c>
      <c r="G302">
        <f>IF(D302&gt;Summary!$B$3,"Current",IF(F302&lt;=30,"0-30",IF(F302&lt;=60,"31-60",IF(F302&lt;=90,"61-90","90+"))))</f>
        <v/>
      </c>
    </row>
    <row r="303">
      <c r="A303" t="inlineStr">
        <is>
          <t>0009010427</t>
        </is>
      </c>
      <c r="B303" t="inlineStr">
        <is>
          <t>0000100164</t>
        </is>
      </c>
      <c r="C303" s="3" t="n">
        <v>45351</v>
      </c>
      <c r="D303" s="3" t="n">
        <v>45411</v>
      </c>
      <c r="E303" s="4" t="n">
        <v>153.7</v>
      </c>
      <c r="F303">
        <f>Summary!$B$3-D303</f>
        <v/>
      </c>
      <c r="G303">
        <f>IF(D303&gt;Summary!$B$3,"Current",IF(F303&lt;=30,"0-30",IF(F303&lt;=60,"31-60",IF(F303&lt;=90,"61-90","90+"))))</f>
        <v/>
      </c>
    </row>
    <row r="304">
      <c r="A304" t="inlineStr">
        <is>
          <t>0009010470</t>
        </is>
      </c>
      <c r="B304" t="inlineStr">
        <is>
          <t>0000100258</t>
        </is>
      </c>
      <c r="C304" s="3" t="n">
        <v>45352</v>
      </c>
      <c r="D304" s="3" t="n">
        <v>45382</v>
      </c>
      <c r="E304" s="4" t="n">
        <v>40.12</v>
      </c>
      <c r="F304">
        <f>Summary!$B$3-D304</f>
        <v/>
      </c>
      <c r="G304">
        <f>IF(D304&gt;Summary!$B$3,"Current",IF(F304&lt;=30,"0-30",IF(F304&lt;=60,"31-60",IF(F304&lt;=90,"61-90","90+"))))</f>
        <v/>
      </c>
    </row>
    <row r="305">
      <c r="A305" t="inlineStr">
        <is>
          <t>0009010471</t>
        </is>
      </c>
      <c r="B305" t="inlineStr">
        <is>
          <t>0000100228</t>
        </is>
      </c>
      <c r="C305" s="3" t="n">
        <v>45353</v>
      </c>
      <c r="D305" s="3" t="n">
        <v>45413</v>
      </c>
      <c r="E305" s="4" t="n">
        <v>384.64</v>
      </c>
      <c r="F305">
        <f>Summary!$B$3-D305</f>
        <v/>
      </c>
      <c r="G305">
        <f>IF(D305&gt;Summary!$B$3,"Current",IF(F305&lt;=30,"0-30",IF(F305&lt;=60,"31-60",IF(F305&lt;=90,"61-90","90+"))))</f>
        <v/>
      </c>
    </row>
    <row r="306">
      <c r="A306" t="inlineStr">
        <is>
          <t>0009010504</t>
        </is>
      </c>
      <c r="B306" t="inlineStr">
        <is>
          <t>0000100377</t>
        </is>
      </c>
      <c r="C306" s="3" t="n">
        <v>45360</v>
      </c>
      <c r="D306" s="3" t="n">
        <v>45390</v>
      </c>
      <c r="E306" s="4" t="n">
        <v>100.22</v>
      </c>
      <c r="F306">
        <f>Summary!$B$3-D306</f>
        <v/>
      </c>
      <c r="G306">
        <f>IF(D306&gt;Summary!$B$3,"Current",IF(F306&lt;=30,"0-30",IF(F306&lt;=60,"31-60",IF(F306&lt;=90,"61-90","90+"))))</f>
        <v/>
      </c>
    </row>
    <row r="307">
      <c r="A307" t="inlineStr">
        <is>
          <t>0009010618</t>
        </is>
      </c>
      <c r="B307" t="inlineStr">
        <is>
          <t>0000100593</t>
        </is>
      </c>
      <c r="C307" s="3" t="n">
        <v>45356</v>
      </c>
      <c r="D307" s="3" t="n">
        <v>45416</v>
      </c>
      <c r="E307" s="4" t="n">
        <v>200.49</v>
      </c>
      <c r="F307">
        <f>Summary!$B$3-D307</f>
        <v/>
      </c>
      <c r="G307">
        <f>IF(D307&gt;Summary!$B$3,"Current",IF(F307&lt;=30,"0-30",IF(F307&lt;=60,"31-60",IF(F307&lt;=90,"61-90","90+"))))</f>
        <v/>
      </c>
    </row>
    <row r="308">
      <c r="A308" t="inlineStr">
        <is>
          <t>0009010620</t>
        </is>
      </c>
      <c r="B308" t="inlineStr">
        <is>
          <t>0000100456</t>
        </is>
      </c>
      <c r="C308" s="3" t="n">
        <v>45359</v>
      </c>
      <c r="D308" s="3" t="n">
        <v>45419</v>
      </c>
      <c r="E308" s="4" t="n">
        <v>160.4</v>
      </c>
      <c r="F308">
        <f>Summary!$B$3-D308</f>
        <v/>
      </c>
      <c r="G308">
        <f>IF(D308&gt;Summary!$B$3,"Current",IF(F308&lt;=30,"0-30",IF(F308&lt;=60,"31-60",IF(F308&lt;=90,"61-90","90+"))))</f>
        <v/>
      </c>
    </row>
    <row r="309">
      <c r="A309" t="inlineStr">
        <is>
          <t>0009010635</t>
        </is>
      </c>
      <c r="B309" t="inlineStr">
        <is>
          <t>0000100174</t>
        </is>
      </c>
      <c r="C309" s="3" t="n">
        <v>45361</v>
      </c>
      <c r="D309" s="3" t="n">
        <v>45391</v>
      </c>
      <c r="E309" s="4" t="n">
        <v>600.98</v>
      </c>
      <c r="F309">
        <f>Summary!$B$3-D309</f>
        <v/>
      </c>
      <c r="G309">
        <f>IF(D309&gt;Summary!$B$3,"Current",IF(F309&lt;=30,"0-30",IF(F309&lt;=60,"31-60",IF(F309&lt;=90,"61-90","90+"))))</f>
        <v/>
      </c>
    </row>
    <row r="310">
      <c r="A310" t="inlineStr">
        <is>
          <t>0009010677</t>
        </is>
      </c>
      <c r="B310" t="inlineStr">
        <is>
          <t>0000100169</t>
        </is>
      </c>
      <c r="C310" s="3" t="n">
        <v>45365</v>
      </c>
      <c r="D310" s="3" t="n">
        <v>45410</v>
      </c>
      <c r="E310" s="4" t="n">
        <v>323.03</v>
      </c>
      <c r="F310">
        <f>Summary!$B$3-D310</f>
        <v/>
      </c>
      <c r="G310">
        <f>IF(D310&gt;Summary!$B$3,"Current",IF(F310&lt;=30,"0-30",IF(F310&lt;=60,"31-60",IF(F310&lt;=90,"61-90","90+"))))</f>
        <v/>
      </c>
    </row>
    <row r="311">
      <c r="A311" t="inlineStr">
        <is>
          <t>0009010710</t>
        </is>
      </c>
      <c r="B311" t="inlineStr">
        <is>
          <t>0000100508</t>
        </is>
      </c>
      <c r="C311" s="3" t="n">
        <v>45363</v>
      </c>
      <c r="D311" s="3" t="n">
        <v>45423</v>
      </c>
      <c r="E311" s="4" t="n">
        <v>1341.72</v>
      </c>
      <c r="F311">
        <f>Summary!$B$3-D311</f>
        <v/>
      </c>
      <c r="G311">
        <f>IF(D311&gt;Summary!$B$3,"Current",IF(F311&lt;=30,"0-30",IF(F311&lt;=60,"31-60",IF(F311&lt;=90,"61-90","90+"))))</f>
        <v/>
      </c>
    </row>
    <row r="312">
      <c r="A312" t="inlineStr">
        <is>
          <t>0009010720</t>
        </is>
      </c>
      <c r="B312" t="inlineStr">
        <is>
          <t>0000100122</t>
        </is>
      </c>
      <c r="C312" s="3" t="n">
        <v>45363</v>
      </c>
      <c r="D312" s="3" t="n">
        <v>45393</v>
      </c>
      <c r="E312" s="4" t="n">
        <v>1094.7</v>
      </c>
      <c r="F312">
        <f>Summary!$B$3-D312</f>
        <v/>
      </c>
      <c r="G312">
        <f>IF(D312&gt;Summary!$B$3,"Current",IF(F312&lt;=30,"0-30",IF(F312&lt;=60,"31-60",IF(F312&lt;=90,"61-90","90+"))))</f>
        <v/>
      </c>
    </row>
    <row r="313">
      <c r="A313" t="inlineStr">
        <is>
          <t>0009010726</t>
        </is>
      </c>
      <c r="B313" t="inlineStr">
        <is>
          <t>0000100196</t>
        </is>
      </c>
      <c r="C313" s="3" t="n">
        <v>45359</v>
      </c>
      <c r="D313" s="3" t="n">
        <v>45389</v>
      </c>
      <c r="E313" s="4" t="n">
        <v>197.87</v>
      </c>
      <c r="F313">
        <f>Summary!$B$3-D313</f>
        <v/>
      </c>
      <c r="G313">
        <f>IF(D313&gt;Summary!$B$3,"Current",IF(F313&lt;=30,"0-30",IF(F313&lt;=60,"31-60",IF(F313&lt;=90,"61-90","90+"))))</f>
        <v/>
      </c>
    </row>
    <row r="314">
      <c r="A314" t="inlineStr">
        <is>
          <t>0009010766</t>
        </is>
      </c>
      <c r="B314" t="inlineStr">
        <is>
          <t>0000100484</t>
        </is>
      </c>
      <c r="C314" s="3" t="n">
        <v>45371</v>
      </c>
      <c r="D314" s="3" t="n">
        <v>45431</v>
      </c>
      <c r="E314" s="4" t="n">
        <v>1401.52</v>
      </c>
      <c r="F314">
        <f>Summary!$B$3-D314</f>
        <v/>
      </c>
      <c r="G314">
        <f>IF(D314&gt;Summary!$B$3,"Current",IF(F314&lt;=30,"0-30",IF(F314&lt;=60,"31-60",IF(F314&lt;=90,"61-90","90+"))))</f>
        <v/>
      </c>
    </row>
    <row r="315">
      <c r="A315" t="inlineStr">
        <is>
          <t>0009010815</t>
        </is>
      </c>
      <c r="B315" t="inlineStr">
        <is>
          <t>0000100070</t>
        </is>
      </c>
      <c r="C315" s="3" t="n">
        <v>45365</v>
      </c>
      <c r="D315" s="3" t="n">
        <v>45395</v>
      </c>
      <c r="E315" s="4" t="n">
        <v>1145.5</v>
      </c>
      <c r="F315">
        <f>Summary!$B$3-D315</f>
        <v/>
      </c>
      <c r="G315">
        <f>IF(D315&gt;Summary!$B$3,"Current",IF(F315&lt;=30,"0-30",IF(F315&lt;=60,"31-60",IF(F315&lt;=90,"61-90","90+"))))</f>
        <v/>
      </c>
    </row>
    <row r="316">
      <c r="A316" t="inlineStr">
        <is>
          <t>0009010819</t>
        </is>
      </c>
      <c r="B316" t="inlineStr">
        <is>
          <t>0000100364</t>
        </is>
      </c>
      <c r="C316" s="3" t="n">
        <v>45370</v>
      </c>
      <c r="D316" s="3" t="n">
        <v>45430</v>
      </c>
      <c r="E316" s="4" t="n">
        <v>127.16</v>
      </c>
      <c r="F316">
        <f>Summary!$B$3-D316</f>
        <v/>
      </c>
      <c r="G316">
        <f>IF(D316&gt;Summary!$B$3,"Current",IF(F316&lt;=30,"0-30",IF(F316&lt;=60,"31-60",IF(F316&lt;=90,"61-90","90+"))))</f>
        <v/>
      </c>
    </row>
    <row r="317">
      <c r="A317" t="inlineStr">
        <is>
          <t>0009010895</t>
        </is>
      </c>
      <c r="B317" t="inlineStr">
        <is>
          <t>0000100158</t>
        </is>
      </c>
      <c r="C317" s="3" t="n">
        <v>45368</v>
      </c>
      <c r="D317" s="3" t="n">
        <v>45398</v>
      </c>
      <c r="E317" s="4" t="n">
        <v>1747.3</v>
      </c>
      <c r="F317">
        <f>Summary!$B$3-D317</f>
        <v/>
      </c>
      <c r="G317">
        <f>IF(D317&gt;Summary!$B$3,"Current",IF(F317&lt;=30,"0-30",IF(F317&lt;=60,"31-60",IF(F317&lt;=90,"61-90","90+"))))</f>
        <v/>
      </c>
    </row>
    <row r="318">
      <c r="A318" t="inlineStr">
        <is>
          <t>0009010968</t>
        </is>
      </c>
      <c r="B318" t="inlineStr">
        <is>
          <t>0000100093</t>
        </is>
      </c>
      <c r="C318" s="3" t="n">
        <v>45372</v>
      </c>
      <c r="D318" s="3" t="n">
        <v>45402</v>
      </c>
      <c r="E318" s="4" t="n">
        <v>169.49</v>
      </c>
      <c r="F318">
        <f>Summary!$B$3-D318</f>
        <v/>
      </c>
      <c r="G318">
        <f>IF(D318&gt;Summary!$B$3,"Current",IF(F318&lt;=30,"0-30",IF(F318&lt;=60,"31-60",IF(F318&lt;=90,"61-90","90+"))))</f>
        <v/>
      </c>
    </row>
    <row r="319">
      <c r="A319" t="inlineStr">
        <is>
          <t>0009010970</t>
        </is>
      </c>
      <c r="B319" t="inlineStr">
        <is>
          <t>0000100220</t>
        </is>
      </c>
      <c r="C319" s="3" t="n">
        <v>45369</v>
      </c>
      <c r="D319" s="3" t="n">
        <v>45399</v>
      </c>
      <c r="E319" s="4" t="n">
        <v>956.24</v>
      </c>
      <c r="F319">
        <f>Summary!$B$3-D319</f>
        <v/>
      </c>
      <c r="G319">
        <f>IF(D319&gt;Summary!$B$3,"Current",IF(F319&lt;=30,"0-30",IF(F319&lt;=60,"31-60",IF(F319&lt;=90,"61-90","90+"))))</f>
        <v/>
      </c>
    </row>
    <row r="320">
      <c r="A320" t="inlineStr">
        <is>
          <t>0009011039</t>
        </is>
      </c>
      <c r="B320" t="inlineStr">
        <is>
          <t>0000100313</t>
        </is>
      </c>
      <c r="C320" s="3" t="n">
        <v>45376</v>
      </c>
      <c r="D320" s="3" t="n">
        <v>45436</v>
      </c>
      <c r="E320" s="4" t="n">
        <v>112.63</v>
      </c>
      <c r="F320">
        <f>Summary!$B$3-D320</f>
        <v/>
      </c>
      <c r="G320">
        <f>IF(D320&gt;Summary!$B$3,"Current",IF(F320&lt;=30,"0-30",IF(F320&lt;=60,"31-60",IF(F320&lt;=90,"61-90","90+"))))</f>
        <v/>
      </c>
    </row>
    <row r="321">
      <c r="A321" t="inlineStr">
        <is>
          <t>0009011056</t>
        </is>
      </c>
      <c r="B321" t="inlineStr">
        <is>
          <t>0000100577</t>
        </is>
      </c>
      <c r="C321" s="3" t="n">
        <v>45380</v>
      </c>
      <c r="D321" s="3" t="n">
        <v>45410</v>
      </c>
      <c r="E321" s="4" t="n">
        <v>682.55</v>
      </c>
      <c r="F321">
        <f>Summary!$B$3-D321</f>
        <v/>
      </c>
      <c r="G321">
        <f>IF(D321&gt;Summary!$B$3,"Current",IF(F321&lt;=30,"0-30",IF(F321&lt;=60,"31-60",IF(F321&lt;=90,"61-90","90+"))))</f>
        <v/>
      </c>
    </row>
    <row r="322">
      <c r="A322" t="inlineStr">
        <is>
          <t>0009011065</t>
        </is>
      </c>
      <c r="B322" t="inlineStr">
        <is>
          <t>0000100351</t>
        </is>
      </c>
      <c r="C322" s="3" t="n">
        <v>45371</v>
      </c>
      <c r="D322" s="3" t="n">
        <v>45401</v>
      </c>
      <c r="E322" s="4" t="n">
        <v>767.13</v>
      </c>
      <c r="F322">
        <f>Summary!$B$3-D322</f>
        <v/>
      </c>
      <c r="G322">
        <f>IF(D322&gt;Summary!$B$3,"Current",IF(F322&lt;=30,"0-30",IF(F322&lt;=60,"31-60",IF(F322&lt;=90,"61-90","90+"))))</f>
        <v/>
      </c>
    </row>
    <row r="323">
      <c r="A323" t="inlineStr">
        <is>
          <t>0009011165</t>
        </is>
      </c>
      <c r="B323" t="inlineStr">
        <is>
          <t>0000100019</t>
        </is>
      </c>
      <c r="C323" s="3" t="n">
        <v>45385</v>
      </c>
      <c r="D323" s="3" t="n">
        <v>45415</v>
      </c>
      <c r="E323" s="4" t="n">
        <v>1512</v>
      </c>
      <c r="F323">
        <f>Summary!$B$3-D323</f>
        <v/>
      </c>
      <c r="G323">
        <f>IF(D323&gt;Summary!$B$3,"Current",IF(F323&lt;=30,"0-30",IF(F323&lt;=60,"31-60",IF(F323&lt;=90,"61-90","90+"))))</f>
        <v/>
      </c>
    </row>
    <row r="324">
      <c r="A324" t="inlineStr">
        <is>
          <t>0009011167</t>
        </is>
      </c>
      <c r="B324" t="inlineStr">
        <is>
          <t>0000100408</t>
        </is>
      </c>
      <c r="C324" s="3" t="n">
        <v>45379</v>
      </c>
      <c r="D324" s="3" t="n">
        <v>45424</v>
      </c>
      <c r="E324" s="4" t="n">
        <v>843.09</v>
      </c>
      <c r="F324">
        <f>Summary!$B$3-D324</f>
        <v/>
      </c>
      <c r="G324">
        <f>IF(D324&gt;Summary!$B$3,"Current",IF(F324&lt;=30,"0-30",IF(F324&lt;=60,"31-60",IF(F324&lt;=90,"61-90","90+"))))</f>
        <v/>
      </c>
    </row>
    <row r="325">
      <c r="A325" t="inlineStr">
        <is>
          <t>0009011207</t>
        </is>
      </c>
      <c r="B325" t="inlineStr">
        <is>
          <t>0000100174</t>
        </is>
      </c>
      <c r="C325" s="3" t="n">
        <v>45381</v>
      </c>
      <c r="D325" s="3" t="n">
        <v>45411</v>
      </c>
      <c r="E325" s="4" t="n">
        <v>250.4</v>
      </c>
      <c r="F325">
        <f>Summary!$B$3-D325</f>
        <v/>
      </c>
      <c r="G325">
        <f>IF(D325&gt;Summary!$B$3,"Current",IF(F325&lt;=30,"0-30",IF(F325&lt;=60,"31-60",IF(F325&lt;=90,"61-90","90+"))))</f>
        <v/>
      </c>
    </row>
    <row r="326">
      <c r="A326" t="inlineStr">
        <is>
          <t>0009011291</t>
        </is>
      </c>
      <c r="B326" t="inlineStr">
        <is>
          <t>0000100269</t>
        </is>
      </c>
      <c r="C326" s="3" t="n">
        <v>45382</v>
      </c>
      <c r="D326" s="3" t="n">
        <v>45412</v>
      </c>
      <c r="E326" s="4" t="n">
        <v>1531.09</v>
      </c>
      <c r="F326">
        <f>Summary!$B$3-D326</f>
        <v/>
      </c>
      <c r="G326">
        <f>IF(D326&gt;Summary!$B$3,"Current",IF(F326&lt;=30,"0-30",IF(F326&lt;=60,"31-60",IF(F326&lt;=90,"61-90","90+"))))</f>
        <v/>
      </c>
    </row>
    <row r="327">
      <c r="A327" t="inlineStr">
        <is>
          <t>0009011308</t>
        </is>
      </c>
      <c r="B327" t="inlineStr">
        <is>
          <t>0000100450</t>
        </is>
      </c>
      <c r="C327" s="3" t="n">
        <v>45383</v>
      </c>
      <c r="D327" s="3" t="n">
        <v>45428</v>
      </c>
      <c r="E327" s="4" t="n">
        <v>565.64</v>
      </c>
      <c r="F327">
        <f>Summary!$B$3-D327</f>
        <v/>
      </c>
      <c r="G327">
        <f>IF(D327&gt;Summary!$B$3,"Current",IF(F327&lt;=30,"0-30",IF(F327&lt;=60,"31-60",IF(F327&lt;=90,"61-90","90+"))))</f>
        <v/>
      </c>
    </row>
    <row r="328">
      <c r="A328" t="inlineStr">
        <is>
          <t>0009011358</t>
        </is>
      </c>
      <c r="B328" t="inlineStr">
        <is>
          <t>0000100203</t>
        </is>
      </c>
      <c r="C328" s="3" t="n">
        <v>45385</v>
      </c>
      <c r="D328" s="3" t="n">
        <v>45430</v>
      </c>
      <c r="E328" s="4" t="n">
        <v>313.47</v>
      </c>
      <c r="F328">
        <f>Summary!$B$3-D328</f>
        <v/>
      </c>
      <c r="G328">
        <f>IF(D328&gt;Summary!$B$3,"Current",IF(F328&lt;=30,"0-30",IF(F328&lt;=60,"31-60",IF(F328&lt;=90,"61-90","90+"))))</f>
        <v/>
      </c>
    </row>
    <row r="329">
      <c r="A329" t="inlineStr">
        <is>
          <t>0009011359</t>
        </is>
      </c>
      <c r="B329" t="inlineStr">
        <is>
          <t>0000100002</t>
        </is>
      </c>
      <c r="C329" s="3" t="n">
        <v>45383</v>
      </c>
      <c r="D329" s="3" t="n">
        <v>45443</v>
      </c>
      <c r="E329" s="4" t="n">
        <v>1789.34</v>
      </c>
      <c r="F329">
        <f>Summary!$B$3-D329</f>
        <v/>
      </c>
      <c r="G329">
        <f>IF(D329&gt;Summary!$B$3,"Current",IF(F329&lt;=30,"0-30",IF(F329&lt;=60,"31-60",IF(F329&lt;=90,"61-90","90+"))))</f>
        <v/>
      </c>
    </row>
    <row r="330">
      <c r="A330" t="inlineStr">
        <is>
          <t>0009011389</t>
        </is>
      </c>
      <c r="B330" t="inlineStr">
        <is>
          <t>0000100158</t>
        </is>
      </c>
      <c r="C330" s="3" t="n">
        <v>45388</v>
      </c>
      <c r="D330" s="3" t="n">
        <v>45418</v>
      </c>
      <c r="E330" s="4" t="n">
        <v>1992.66</v>
      </c>
      <c r="F330">
        <f>Summary!$B$3-D330</f>
        <v/>
      </c>
      <c r="G330">
        <f>IF(D330&gt;Summary!$B$3,"Current",IF(F330&lt;=30,"0-30",IF(F330&lt;=60,"31-60",IF(F330&lt;=90,"61-90","90+"))))</f>
        <v/>
      </c>
    </row>
    <row r="331">
      <c r="A331" t="inlineStr">
        <is>
          <t>0009011444</t>
        </is>
      </c>
      <c r="B331" t="inlineStr">
        <is>
          <t>0000100021</t>
        </is>
      </c>
      <c r="C331" s="3" t="n">
        <v>45404</v>
      </c>
      <c r="D331" s="3" t="n">
        <v>45434</v>
      </c>
      <c r="E331" s="4" t="n">
        <v>1699.42</v>
      </c>
      <c r="F331">
        <f>Summary!$B$3-D331</f>
        <v/>
      </c>
      <c r="G331">
        <f>IF(D331&gt;Summary!$B$3,"Current",IF(F331&lt;=30,"0-30",IF(F331&lt;=60,"31-60",IF(F331&lt;=90,"61-90","90+"))))</f>
        <v/>
      </c>
    </row>
    <row r="332">
      <c r="A332" t="inlineStr">
        <is>
          <t>0009011562</t>
        </is>
      </c>
      <c r="B332" t="inlineStr">
        <is>
          <t>0000100169</t>
        </is>
      </c>
      <c r="C332" s="3" t="n">
        <v>45393</v>
      </c>
      <c r="D332" s="3" t="n">
        <v>45438</v>
      </c>
      <c r="E332" s="4" t="n">
        <v>96.3</v>
      </c>
      <c r="F332">
        <f>Summary!$B$3-D332</f>
        <v/>
      </c>
      <c r="G332">
        <f>IF(D332&gt;Summary!$B$3,"Current",IF(F332&lt;=30,"0-30",IF(F332&lt;=60,"31-60",IF(F332&lt;=90,"61-90","90+"))))</f>
        <v/>
      </c>
    </row>
    <row r="333">
      <c r="A333" t="inlineStr">
        <is>
          <t>0009011591</t>
        </is>
      </c>
      <c r="B333" t="inlineStr">
        <is>
          <t>0000100010</t>
        </is>
      </c>
      <c r="C333" s="3" t="n">
        <v>45395</v>
      </c>
      <c r="D333" s="3" t="n">
        <v>45440</v>
      </c>
      <c r="E333" s="4" t="n">
        <v>305.52</v>
      </c>
      <c r="F333">
        <f>Summary!$B$3-D333</f>
        <v/>
      </c>
      <c r="G333">
        <f>IF(D333&gt;Summary!$B$3,"Current",IF(F333&lt;=30,"0-30",IF(F333&lt;=60,"31-60",IF(F333&lt;=90,"61-90","90+"))))</f>
        <v/>
      </c>
    </row>
    <row r="334">
      <c r="A334" t="inlineStr">
        <is>
          <t>0009011609</t>
        </is>
      </c>
      <c r="B334" t="inlineStr">
        <is>
          <t>0000100514</t>
        </is>
      </c>
      <c r="C334" s="3" t="n">
        <v>45399</v>
      </c>
      <c r="D334" s="3" t="n">
        <v>45459</v>
      </c>
      <c r="E334" s="4" t="n">
        <v>956.64</v>
      </c>
      <c r="F334">
        <f>Summary!$B$3-D334</f>
        <v/>
      </c>
      <c r="G334">
        <f>IF(D334&gt;Summary!$B$3,"Current",IF(F334&lt;=30,"0-30",IF(F334&lt;=60,"31-60",IF(F334&lt;=90,"61-90","90+"))))</f>
        <v/>
      </c>
    </row>
    <row r="335">
      <c r="A335" t="inlineStr">
        <is>
          <t>0009011653</t>
        </is>
      </c>
      <c r="B335" t="inlineStr">
        <is>
          <t>0000100564</t>
        </is>
      </c>
      <c r="C335" s="3" t="n">
        <v>45398</v>
      </c>
      <c r="D335" s="3" t="n">
        <v>45428</v>
      </c>
      <c r="E335" s="4" t="n">
        <v>294.33</v>
      </c>
      <c r="F335">
        <f>Summary!$B$3-D335</f>
        <v/>
      </c>
      <c r="G335">
        <f>IF(D335&gt;Summary!$B$3,"Current",IF(F335&lt;=30,"0-30",IF(F335&lt;=60,"31-60",IF(F335&lt;=90,"61-90","90+"))))</f>
        <v/>
      </c>
    </row>
    <row r="336">
      <c r="A336" t="inlineStr">
        <is>
          <t>0009011669</t>
        </is>
      </c>
      <c r="B336" t="inlineStr">
        <is>
          <t>0000100196</t>
        </is>
      </c>
      <c r="C336" s="3" t="n">
        <v>45403</v>
      </c>
      <c r="D336" s="3" t="n">
        <v>45433</v>
      </c>
      <c r="E336" s="4" t="n">
        <v>4077.15</v>
      </c>
      <c r="F336">
        <f>Summary!$B$3-D336</f>
        <v/>
      </c>
      <c r="G336">
        <f>IF(D336&gt;Summary!$B$3,"Current",IF(F336&lt;=30,"0-30",IF(F336&lt;=60,"31-60",IF(F336&lt;=90,"61-90","90+"))))</f>
        <v/>
      </c>
    </row>
    <row r="337">
      <c r="A337" t="inlineStr">
        <is>
          <t>0009011718</t>
        </is>
      </c>
      <c r="B337" t="inlineStr">
        <is>
          <t>0000100049</t>
        </is>
      </c>
      <c r="C337" s="3" t="n">
        <v>45400</v>
      </c>
      <c r="D337" s="3" t="n">
        <v>45430</v>
      </c>
      <c r="E337" s="4" t="n">
        <v>355.92</v>
      </c>
      <c r="F337">
        <f>Summary!$B$3-D337</f>
        <v/>
      </c>
      <c r="G337">
        <f>IF(D337&gt;Summary!$B$3,"Current",IF(F337&lt;=30,"0-30",IF(F337&lt;=60,"31-60",IF(F337&lt;=90,"61-90","90+"))))</f>
        <v/>
      </c>
    </row>
    <row r="338">
      <c r="A338" t="inlineStr">
        <is>
          <t>0009011794</t>
        </is>
      </c>
      <c r="B338" t="inlineStr">
        <is>
          <t>0000100536</t>
        </is>
      </c>
      <c r="C338" s="3" t="n">
        <v>45401</v>
      </c>
      <c r="D338" s="3" t="n">
        <v>45431</v>
      </c>
      <c r="E338" s="4" t="n">
        <v>153.28</v>
      </c>
      <c r="F338">
        <f>Summary!$B$3-D338</f>
        <v/>
      </c>
      <c r="G338">
        <f>IF(D338&gt;Summary!$B$3,"Current",IF(F338&lt;=30,"0-30",IF(F338&lt;=60,"31-60",IF(F338&lt;=90,"61-90","90+"))))</f>
        <v/>
      </c>
    </row>
    <row r="339">
      <c r="A339" t="inlineStr">
        <is>
          <t>0009011827</t>
        </is>
      </c>
      <c r="B339" t="inlineStr">
        <is>
          <t>0000100014</t>
        </is>
      </c>
      <c r="C339" s="3" t="n">
        <v>45410</v>
      </c>
      <c r="D339" s="3" t="n">
        <v>45440</v>
      </c>
      <c r="E339" s="4" t="n">
        <v>135.88</v>
      </c>
      <c r="F339">
        <f>Summary!$B$3-D339</f>
        <v/>
      </c>
      <c r="G339">
        <f>IF(D339&gt;Summary!$B$3,"Current",IF(F339&lt;=30,"0-30",IF(F339&lt;=60,"31-60",IF(F339&lt;=90,"61-90","90+"))))</f>
        <v/>
      </c>
    </row>
    <row r="340">
      <c r="A340" t="inlineStr">
        <is>
          <t>0009011842</t>
        </is>
      </c>
      <c r="B340" t="inlineStr">
        <is>
          <t>0000100222</t>
        </is>
      </c>
      <c r="C340" s="3" t="n">
        <v>45402</v>
      </c>
      <c r="D340" s="3" t="n">
        <v>45432</v>
      </c>
      <c r="E340" s="4" t="n">
        <v>336.6</v>
      </c>
      <c r="F340">
        <f>Summary!$B$3-D340</f>
        <v/>
      </c>
      <c r="G340">
        <f>IF(D340&gt;Summary!$B$3,"Current",IF(F340&lt;=30,"0-30",IF(F340&lt;=60,"31-60",IF(F340&lt;=90,"61-90","90+"))))</f>
        <v/>
      </c>
    </row>
    <row r="341">
      <c r="A341" t="inlineStr">
        <is>
          <t>0009011861</t>
        </is>
      </c>
      <c r="B341" t="inlineStr">
        <is>
          <t>0000100413</t>
        </is>
      </c>
      <c r="C341" s="3" t="n">
        <v>45409</v>
      </c>
      <c r="D341" s="3" t="n">
        <v>45469</v>
      </c>
      <c r="E341" s="4" t="n">
        <v>526.5</v>
      </c>
      <c r="F341">
        <f>Summary!$B$3-D341</f>
        <v/>
      </c>
      <c r="G341">
        <f>IF(D341&gt;Summary!$B$3,"Current",IF(F341&lt;=30,"0-30",IF(F341&lt;=60,"31-60",IF(F341&lt;=90,"61-90","90+"))))</f>
        <v/>
      </c>
    </row>
    <row r="342">
      <c r="A342" t="inlineStr">
        <is>
          <t>0009011877</t>
        </is>
      </c>
      <c r="B342" t="inlineStr">
        <is>
          <t>0000100513</t>
        </is>
      </c>
      <c r="C342" s="3" t="n">
        <v>45405</v>
      </c>
      <c r="D342" s="3" t="n">
        <v>45465</v>
      </c>
      <c r="E342" s="4" t="n">
        <v>949.42</v>
      </c>
      <c r="F342">
        <f>Summary!$B$3-D342</f>
        <v/>
      </c>
      <c r="G342">
        <f>IF(D342&gt;Summary!$B$3,"Current",IF(F342&lt;=30,"0-30",IF(F342&lt;=60,"31-60",IF(F342&lt;=90,"61-90","90+"))))</f>
        <v/>
      </c>
    </row>
    <row r="343">
      <c r="A343" t="inlineStr">
        <is>
          <t>0009011880</t>
        </is>
      </c>
      <c r="B343" t="inlineStr">
        <is>
          <t>0000100324</t>
        </is>
      </c>
      <c r="C343" s="3" t="n">
        <v>45407</v>
      </c>
      <c r="D343" s="3" t="n">
        <v>45437</v>
      </c>
      <c r="E343" s="4" t="n">
        <v>454.02</v>
      </c>
      <c r="F343">
        <f>Summary!$B$3-D343</f>
        <v/>
      </c>
      <c r="G343">
        <f>IF(D343&gt;Summary!$B$3,"Current",IF(F343&lt;=30,"0-30",IF(F343&lt;=60,"31-60",IF(F343&lt;=90,"61-90","90+"))))</f>
        <v/>
      </c>
    </row>
    <row r="344">
      <c r="A344" t="inlineStr">
        <is>
          <t>0009011882</t>
        </is>
      </c>
      <c r="B344" t="inlineStr">
        <is>
          <t>0000100384</t>
        </is>
      </c>
      <c r="C344" s="3" t="n">
        <v>45407</v>
      </c>
      <c r="D344" s="3" t="n">
        <v>45437</v>
      </c>
      <c r="E344" s="4" t="n">
        <v>2751.95</v>
      </c>
      <c r="F344">
        <f>Summary!$B$3-D344</f>
        <v/>
      </c>
      <c r="G344">
        <f>IF(D344&gt;Summary!$B$3,"Current",IF(F344&lt;=30,"0-30",IF(F344&lt;=60,"31-60",IF(F344&lt;=90,"61-90","90+"))))</f>
        <v/>
      </c>
    </row>
    <row r="345">
      <c r="A345" t="inlineStr">
        <is>
          <t>0009011917</t>
        </is>
      </c>
      <c r="B345" t="inlineStr">
        <is>
          <t>0000100458</t>
        </is>
      </c>
      <c r="C345" s="3" t="n">
        <v>45410</v>
      </c>
      <c r="D345" s="3" t="n">
        <v>45455</v>
      </c>
      <c r="E345" s="4" t="n">
        <v>500.58</v>
      </c>
      <c r="F345">
        <f>Summary!$B$3-D345</f>
        <v/>
      </c>
      <c r="G345">
        <f>IF(D345&gt;Summary!$B$3,"Current",IF(F345&lt;=30,"0-30",IF(F345&lt;=60,"31-60",IF(F345&lt;=90,"61-90","90+"))))</f>
        <v/>
      </c>
    </row>
    <row r="346">
      <c r="A346" t="inlineStr">
        <is>
          <t>0009011946</t>
        </is>
      </c>
      <c r="B346" t="inlineStr">
        <is>
          <t>0000100103</t>
        </is>
      </c>
      <c r="C346" s="3" t="n">
        <v>45409</v>
      </c>
      <c r="D346" s="3" t="n">
        <v>45469</v>
      </c>
      <c r="E346" s="4" t="n">
        <v>133.49</v>
      </c>
      <c r="F346">
        <f>Summary!$B$3-D346</f>
        <v/>
      </c>
      <c r="G346">
        <f>IF(D346&gt;Summary!$B$3,"Current",IF(F346&lt;=30,"0-30",IF(F346&lt;=60,"31-60",IF(F346&lt;=90,"61-90","90+"))))</f>
        <v/>
      </c>
    </row>
    <row r="347">
      <c r="A347" t="inlineStr">
        <is>
          <t>0009011988</t>
        </is>
      </c>
      <c r="B347" t="inlineStr">
        <is>
          <t>0000100577</t>
        </is>
      </c>
      <c r="C347" s="3" t="n">
        <v>45411</v>
      </c>
      <c r="D347" s="3" t="n">
        <v>45441</v>
      </c>
      <c r="E347" s="4" t="n">
        <v>234.13</v>
      </c>
      <c r="F347">
        <f>Summary!$B$3-D347</f>
        <v/>
      </c>
      <c r="G347">
        <f>IF(D347&gt;Summary!$B$3,"Current",IF(F347&lt;=30,"0-30",IF(F347&lt;=60,"31-60",IF(F347&lt;=90,"61-90","90+"))))</f>
        <v/>
      </c>
    </row>
    <row r="348">
      <c r="A348" t="inlineStr">
        <is>
          <t>0009012012</t>
        </is>
      </c>
      <c r="B348" t="inlineStr">
        <is>
          <t>0000100289</t>
        </is>
      </c>
      <c r="C348" s="3" t="n">
        <v>45411</v>
      </c>
      <c r="D348" s="3" t="n">
        <v>45456</v>
      </c>
      <c r="E348" s="4" t="n">
        <v>1089.62</v>
      </c>
      <c r="F348">
        <f>Summary!$B$3-D348</f>
        <v/>
      </c>
      <c r="G348">
        <f>IF(D348&gt;Summary!$B$3,"Current",IF(F348&lt;=30,"0-30",IF(F348&lt;=60,"31-60",IF(F348&lt;=90,"61-90","90+"))))</f>
        <v/>
      </c>
    </row>
    <row r="349">
      <c r="A349" t="inlineStr">
        <is>
          <t>0009012058</t>
        </is>
      </c>
      <c r="B349" t="inlineStr">
        <is>
          <t>0000100345</t>
        </is>
      </c>
      <c r="C349" s="3" t="n">
        <v>45420</v>
      </c>
      <c r="D349" s="3" t="n">
        <v>45450</v>
      </c>
      <c r="E349" s="4" t="n">
        <v>265.11</v>
      </c>
      <c r="F349">
        <f>Summary!$B$3-D349</f>
        <v/>
      </c>
      <c r="G349">
        <f>IF(D349&gt;Summary!$B$3,"Current",IF(F349&lt;=30,"0-30",IF(F349&lt;=60,"31-60",IF(F349&lt;=90,"61-90","90+"))))</f>
        <v/>
      </c>
    </row>
    <row r="350">
      <c r="A350" t="inlineStr">
        <is>
          <t>0009012061</t>
        </is>
      </c>
      <c r="B350" t="inlineStr">
        <is>
          <t>0000100261</t>
        </is>
      </c>
      <c r="C350" s="3" t="n">
        <v>45411</v>
      </c>
      <c r="D350" s="3" t="n">
        <v>45456</v>
      </c>
      <c r="E350" s="4" t="n">
        <v>802.5599999999999</v>
      </c>
      <c r="F350">
        <f>Summary!$B$3-D350</f>
        <v/>
      </c>
      <c r="G350">
        <f>IF(D350&gt;Summary!$B$3,"Current",IF(F350&lt;=30,"0-30",IF(F350&lt;=60,"31-60",IF(F350&lt;=90,"61-90","90+"))))</f>
        <v/>
      </c>
    </row>
    <row r="351">
      <c r="A351" t="inlineStr">
        <is>
          <t>0009012069</t>
        </is>
      </c>
      <c r="B351" t="inlineStr">
        <is>
          <t>0000100169</t>
        </is>
      </c>
      <c r="C351" s="3" t="n">
        <v>45420</v>
      </c>
      <c r="D351" s="3" t="n">
        <v>45465</v>
      </c>
      <c r="E351" s="4" t="n">
        <v>961.42</v>
      </c>
      <c r="F351">
        <f>Summary!$B$3-D351</f>
        <v/>
      </c>
      <c r="G351">
        <f>IF(D351&gt;Summary!$B$3,"Current",IF(F351&lt;=30,"0-30",IF(F351&lt;=60,"31-60",IF(F351&lt;=90,"61-90","90+"))))</f>
        <v/>
      </c>
    </row>
    <row r="352">
      <c r="A352" t="inlineStr">
        <is>
          <t>0009012119</t>
        </is>
      </c>
      <c r="B352" t="inlineStr">
        <is>
          <t>0000100070</t>
        </is>
      </c>
      <c r="C352" s="3" t="n">
        <v>45412</v>
      </c>
      <c r="D352" s="3" t="n">
        <v>45442</v>
      </c>
      <c r="E352" s="4" t="n">
        <v>334.12</v>
      </c>
      <c r="F352">
        <f>Summary!$B$3-D352</f>
        <v/>
      </c>
      <c r="G352">
        <f>IF(D352&gt;Summary!$B$3,"Current",IF(F352&lt;=30,"0-30",IF(F352&lt;=60,"31-60",IF(F352&lt;=90,"61-90","90+"))))</f>
        <v/>
      </c>
    </row>
    <row r="353">
      <c r="A353" t="inlineStr">
        <is>
          <t>0009012131</t>
        </is>
      </c>
      <c r="B353" t="inlineStr">
        <is>
          <t>0000100424</t>
        </is>
      </c>
      <c r="C353" s="3" t="n">
        <v>45419</v>
      </c>
      <c r="D353" s="3" t="n">
        <v>45464</v>
      </c>
      <c r="E353" s="4" t="n">
        <v>452.96</v>
      </c>
      <c r="F353">
        <f>Summary!$B$3-D353</f>
        <v/>
      </c>
      <c r="G353">
        <f>IF(D353&gt;Summary!$B$3,"Current",IF(F353&lt;=30,"0-30",IF(F353&lt;=60,"31-60",IF(F353&lt;=90,"61-90","90+"))))</f>
        <v/>
      </c>
    </row>
    <row r="354">
      <c r="A354" t="inlineStr">
        <is>
          <t>0009012192</t>
        </is>
      </c>
      <c r="B354" t="inlineStr">
        <is>
          <t>0000100207</t>
        </is>
      </c>
      <c r="C354" s="3" t="n">
        <v>45421</v>
      </c>
      <c r="D354" s="3" t="n">
        <v>45451</v>
      </c>
      <c r="E354" s="4" t="n">
        <v>514.58</v>
      </c>
      <c r="F354">
        <f>Summary!$B$3-D354</f>
        <v/>
      </c>
      <c r="G354">
        <f>IF(D354&gt;Summary!$B$3,"Current",IF(F354&lt;=30,"0-30",IF(F354&lt;=60,"31-60",IF(F354&lt;=90,"61-90","90+"))))</f>
        <v/>
      </c>
    </row>
    <row r="355">
      <c r="A355" t="inlineStr">
        <is>
          <t>0009012204</t>
        </is>
      </c>
      <c r="B355" t="inlineStr">
        <is>
          <t>0000100267</t>
        </is>
      </c>
      <c r="C355" s="3" t="n">
        <v>45417</v>
      </c>
      <c r="D355" s="3" t="n">
        <v>45462</v>
      </c>
      <c r="E355" s="4" t="n">
        <v>690.42</v>
      </c>
      <c r="F355">
        <f>Summary!$B$3-D355</f>
        <v/>
      </c>
      <c r="G355">
        <f>IF(D355&gt;Summary!$B$3,"Current",IF(F355&lt;=30,"0-30",IF(F355&lt;=60,"31-60",IF(F355&lt;=90,"61-90","90+"))))</f>
        <v/>
      </c>
    </row>
    <row r="356">
      <c r="A356" t="inlineStr">
        <is>
          <t>0009012211</t>
        </is>
      </c>
      <c r="B356" t="inlineStr">
        <is>
          <t>0000100409</t>
        </is>
      </c>
      <c r="C356" s="3" t="n">
        <v>45423</v>
      </c>
      <c r="D356" s="3" t="n">
        <v>45453</v>
      </c>
      <c r="E356" s="4" t="n">
        <v>1431.45</v>
      </c>
      <c r="F356">
        <f>Summary!$B$3-D356</f>
        <v/>
      </c>
      <c r="G356">
        <f>IF(D356&gt;Summary!$B$3,"Current",IF(F356&lt;=30,"0-30",IF(F356&lt;=60,"31-60",IF(F356&lt;=90,"61-90","90+"))))</f>
        <v/>
      </c>
    </row>
    <row r="357">
      <c r="A357" t="inlineStr">
        <is>
          <t>0009012250</t>
        </is>
      </c>
      <c r="B357" t="inlineStr">
        <is>
          <t>0000100136</t>
        </is>
      </c>
      <c r="C357" s="3" t="n">
        <v>45423</v>
      </c>
      <c r="D357" s="3" t="n">
        <v>45453</v>
      </c>
      <c r="E357" s="4" t="n">
        <v>918.2</v>
      </c>
      <c r="F357">
        <f>Summary!$B$3-D357</f>
        <v/>
      </c>
      <c r="G357">
        <f>IF(D357&gt;Summary!$B$3,"Current",IF(F357&lt;=30,"0-30",IF(F357&lt;=60,"31-60",IF(F357&lt;=90,"61-90","90+"))))</f>
        <v/>
      </c>
    </row>
    <row r="358">
      <c r="A358" t="inlineStr">
        <is>
          <t>0009012304</t>
        </is>
      </c>
      <c r="B358" t="inlineStr">
        <is>
          <t>0000100357</t>
        </is>
      </c>
      <c r="C358" s="3" t="n">
        <v>45424</v>
      </c>
      <c r="D358" s="3" t="n">
        <v>45469</v>
      </c>
      <c r="E358" s="4" t="n">
        <v>432.93</v>
      </c>
      <c r="F358">
        <f>Summary!$B$3-D358</f>
        <v/>
      </c>
      <c r="G358">
        <f>IF(D358&gt;Summary!$B$3,"Current",IF(F358&lt;=30,"0-30",IF(F358&lt;=60,"31-60",IF(F358&lt;=90,"61-90","90+"))))</f>
        <v/>
      </c>
    </row>
    <row r="359">
      <c r="A359" t="inlineStr">
        <is>
          <t>0009012489</t>
        </is>
      </c>
      <c r="B359" t="inlineStr">
        <is>
          <t>0000100521</t>
        </is>
      </c>
      <c r="C359" s="3" t="n">
        <v>45429</v>
      </c>
      <c r="D359" s="3" t="n">
        <v>45459</v>
      </c>
      <c r="E359" s="4" t="n">
        <v>793.14</v>
      </c>
      <c r="F359">
        <f>Summary!$B$3-D359</f>
        <v/>
      </c>
      <c r="G359">
        <f>IF(D359&gt;Summary!$B$3,"Current",IF(F359&lt;=30,"0-30",IF(F359&lt;=60,"31-60",IF(F359&lt;=90,"61-90","90+"))))</f>
        <v/>
      </c>
    </row>
    <row r="360">
      <c r="A360" t="inlineStr">
        <is>
          <t>0009012505</t>
        </is>
      </c>
      <c r="B360" t="inlineStr">
        <is>
          <t>0000100465</t>
        </is>
      </c>
      <c r="C360" s="3" t="n">
        <v>45427</v>
      </c>
      <c r="D360" s="3" t="n">
        <v>45487</v>
      </c>
      <c r="E360" s="4" t="n">
        <v>50.7</v>
      </c>
      <c r="F360">
        <f>Summary!$B$3-D360</f>
        <v/>
      </c>
      <c r="G360">
        <f>IF(D360&gt;Summary!$B$3,"Current",IF(F360&lt;=30,"0-30",IF(F360&lt;=60,"31-60",IF(F360&lt;=90,"61-90","90+"))))</f>
        <v/>
      </c>
    </row>
    <row r="361">
      <c r="A361" t="inlineStr">
        <is>
          <t>0009012538</t>
        </is>
      </c>
      <c r="B361" t="inlineStr">
        <is>
          <t>0000100313</t>
        </is>
      </c>
      <c r="C361" s="3" t="n">
        <v>45431</v>
      </c>
      <c r="D361" s="3" t="n">
        <v>45491</v>
      </c>
      <c r="E361" s="4" t="n">
        <v>102.14</v>
      </c>
      <c r="F361">
        <f>Summary!$B$3-D361</f>
        <v/>
      </c>
      <c r="G361">
        <f>IF(D361&gt;Summary!$B$3,"Current",IF(F361&lt;=30,"0-30",IF(F361&lt;=60,"31-60",IF(F361&lt;=90,"61-90","90+"))))</f>
        <v/>
      </c>
    </row>
    <row r="362">
      <c r="A362" t="inlineStr">
        <is>
          <t>0009012559</t>
        </is>
      </c>
      <c r="B362" t="inlineStr">
        <is>
          <t>0000100073</t>
        </is>
      </c>
      <c r="C362" s="3" t="n">
        <v>45434</v>
      </c>
      <c r="D362" s="3" t="n">
        <v>45479</v>
      </c>
      <c r="E362" s="4" t="n">
        <v>248.6</v>
      </c>
      <c r="F362">
        <f>Summary!$B$3-D362</f>
        <v/>
      </c>
      <c r="G362">
        <f>IF(D362&gt;Summary!$B$3,"Current",IF(F362&lt;=30,"0-30",IF(F362&lt;=60,"31-60",IF(F362&lt;=90,"61-90","90+"))))</f>
        <v/>
      </c>
    </row>
    <row r="363">
      <c r="A363" t="inlineStr">
        <is>
          <t>0009012567</t>
        </is>
      </c>
      <c r="B363" t="inlineStr">
        <is>
          <t>0000100083</t>
        </is>
      </c>
      <c r="C363" s="3" t="n">
        <v>45431</v>
      </c>
      <c r="D363" s="3" t="n">
        <v>45461</v>
      </c>
      <c r="E363" s="4" t="n">
        <v>121.24</v>
      </c>
      <c r="F363">
        <f>Summary!$B$3-D363</f>
        <v/>
      </c>
      <c r="G363">
        <f>IF(D363&gt;Summary!$B$3,"Current",IF(F363&lt;=30,"0-30",IF(F363&lt;=60,"31-60",IF(F363&lt;=90,"61-90","90+"))))</f>
        <v/>
      </c>
    </row>
    <row r="364">
      <c r="A364" t="inlineStr">
        <is>
          <t>0009012576</t>
        </is>
      </c>
      <c r="B364" t="inlineStr">
        <is>
          <t>0000100446</t>
        </is>
      </c>
      <c r="C364" s="3" t="n">
        <v>45430</v>
      </c>
      <c r="D364" s="3" t="n">
        <v>45460</v>
      </c>
      <c r="E364" s="4" t="n">
        <v>1383.17</v>
      </c>
      <c r="F364">
        <f>Summary!$B$3-D364</f>
        <v/>
      </c>
      <c r="G364">
        <f>IF(D364&gt;Summary!$B$3,"Current",IF(F364&lt;=30,"0-30",IF(F364&lt;=60,"31-60",IF(F364&lt;=90,"61-90","90+"))))</f>
        <v/>
      </c>
    </row>
    <row r="365">
      <c r="A365" t="inlineStr">
        <is>
          <t>0009012627</t>
        </is>
      </c>
      <c r="B365" t="inlineStr">
        <is>
          <t>0000100178</t>
        </is>
      </c>
      <c r="C365" s="3" t="n">
        <v>45436</v>
      </c>
      <c r="D365" s="3" t="n">
        <v>45481</v>
      </c>
      <c r="E365" s="4" t="n">
        <v>294.13</v>
      </c>
      <c r="F365">
        <f>Summary!$B$3-D365</f>
        <v/>
      </c>
      <c r="G365">
        <f>IF(D365&gt;Summary!$B$3,"Current",IF(F365&lt;=30,"0-30",IF(F365&lt;=60,"31-60",IF(F365&lt;=90,"61-90","90+"))))</f>
        <v/>
      </c>
    </row>
    <row r="366">
      <c r="A366" t="inlineStr">
        <is>
          <t>0009012645</t>
        </is>
      </c>
      <c r="B366" t="inlineStr">
        <is>
          <t>0000100170</t>
        </is>
      </c>
      <c r="C366" s="3" t="n">
        <v>45435</v>
      </c>
      <c r="D366" s="3" t="n">
        <v>45465</v>
      </c>
      <c r="E366" s="4" t="n">
        <v>2322.33</v>
      </c>
      <c r="F366">
        <f>Summary!$B$3-D366</f>
        <v/>
      </c>
      <c r="G366">
        <f>IF(D366&gt;Summary!$B$3,"Current",IF(F366&lt;=30,"0-30",IF(F366&lt;=60,"31-60",IF(F366&lt;=90,"61-90","90+"))))</f>
        <v/>
      </c>
    </row>
    <row r="367">
      <c r="A367" t="inlineStr">
        <is>
          <t>0009012674</t>
        </is>
      </c>
      <c r="B367" t="inlineStr">
        <is>
          <t>0000100471</t>
        </is>
      </c>
      <c r="C367" s="3" t="n">
        <v>45444</v>
      </c>
      <c r="D367" s="3" t="n">
        <v>45489</v>
      </c>
      <c r="E367" s="4" t="n">
        <v>424.2</v>
      </c>
      <c r="F367">
        <f>Summary!$B$3-D367</f>
        <v/>
      </c>
      <c r="G367">
        <f>IF(D367&gt;Summary!$B$3,"Current",IF(F367&lt;=30,"0-30",IF(F367&lt;=60,"31-60",IF(F367&lt;=90,"61-90","90+"))))</f>
        <v/>
      </c>
    </row>
    <row r="368">
      <c r="A368" t="inlineStr">
        <is>
          <t>0009012709</t>
        </is>
      </c>
      <c r="B368" t="inlineStr">
        <is>
          <t>0000100453</t>
        </is>
      </c>
      <c r="C368" s="3" t="n">
        <v>45433</v>
      </c>
      <c r="D368" s="3" t="n">
        <v>45463</v>
      </c>
      <c r="E368" s="4" t="n">
        <v>540.4</v>
      </c>
      <c r="F368">
        <f>Summary!$B$3-D368</f>
        <v/>
      </c>
      <c r="G368">
        <f>IF(D368&gt;Summary!$B$3,"Current",IF(F368&lt;=30,"0-30",IF(F368&lt;=60,"31-60",IF(F368&lt;=90,"61-90","90+"))))</f>
        <v/>
      </c>
    </row>
    <row r="369">
      <c r="A369" t="inlineStr">
        <is>
          <t>0009012777</t>
        </is>
      </c>
      <c r="B369" t="inlineStr">
        <is>
          <t>0000100046</t>
        </is>
      </c>
      <c r="C369" s="3" t="n">
        <v>45439</v>
      </c>
      <c r="D369" s="3" t="n">
        <v>45469</v>
      </c>
      <c r="E369" s="4" t="n">
        <v>246.91</v>
      </c>
      <c r="F369">
        <f>Summary!$B$3-D369</f>
        <v/>
      </c>
      <c r="G369">
        <f>IF(D369&gt;Summary!$B$3,"Current",IF(F369&lt;=30,"0-30",IF(F369&lt;=60,"31-60",IF(F369&lt;=90,"61-90","90+"))))</f>
        <v/>
      </c>
    </row>
    <row r="370">
      <c r="A370" t="inlineStr">
        <is>
          <t>0009012796</t>
        </is>
      </c>
      <c r="B370" t="inlineStr">
        <is>
          <t>0000100484</t>
        </is>
      </c>
      <c r="C370" s="3" t="n">
        <v>45442</v>
      </c>
      <c r="D370" s="3" t="n">
        <v>45502</v>
      </c>
      <c r="E370" s="4" t="n">
        <v>1029.88</v>
      </c>
      <c r="F370">
        <f>Summary!$B$3-D370</f>
        <v/>
      </c>
      <c r="G370">
        <f>IF(D370&gt;Summary!$B$3,"Current",IF(F370&lt;=30,"0-30",IF(F370&lt;=60,"31-60",IF(F370&lt;=90,"61-90","90+"))))</f>
        <v/>
      </c>
    </row>
    <row r="371">
      <c r="A371" t="inlineStr">
        <is>
          <t>0009012841</t>
        </is>
      </c>
      <c r="B371" t="inlineStr">
        <is>
          <t>0000100543</t>
        </is>
      </c>
      <c r="C371" s="3" t="n">
        <v>45445</v>
      </c>
      <c r="D371" s="3" t="n">
        <v>45505</v>
      </c>
      <c r="E371" s="4" t="n">
        <v>387.81</v>
      </c>
      <c r="F371">
        <f>Summary!$B$3-D371</f>
        <v/>
      </c>
      <c r="G371">
        <f>IF(D371&gt;Summary!$B$3,"Current",IF(F371&lt;=30,"0-30",IF(F371&lt;=60,"31-60",IF(F371&lt;=90,"61-90","90+"))))</f>
        <v/>
      </c>
    </row>
    <row r="372">
      <c r="A372" t="inlineStr">
        <is>
          <t>0009012884</t>
        </is>
      </c>
      <c r="B372" t="inlineStr">
        <is>
          <t>0000100362</t>
        </is>
      </c>
      <c r="C372" s="3" t="n">
        <v>45445</v>
      </c>
      <c r="D372" s="3" t="n">
        <v>45475</v>
      </c>
      <c r="E372" s="4" t="n">
        <v>81.12</v>
      </c>
      <c r="F372">
        <f>Summary!$B$3-D372</f>
        <v/>
      </c>
      <c r="G372">
        <f>IF(D372&gt;Summary!$B$3,"Current",IF(F372&lt;=30,"0-30",IF(F372&lt;=60,"31-60",IF(F372&lt;=90,"61-90","90+"))))</f>
        <v/>
      </c>
    </row>
    <row r="373">
      <c r="A373" t="inlineStr">
        <is>
          <t>0009012892</t>
        </is>
      </c>
      <c r="B373" t="inlineStr">
        <is>
          <t>0000100537</t>
        </is>
      </c>
      <c r="C373" s="3" t="n">
        <v>45444</v>
      </c>
      <c r="D373" s="3" t="n">
        <v>45474</v>
      </c>
      <c r="E373" s="4" t="n">
        <v>611.16</v>
      </c>
      <c r="F373">
        <f>Summary!$B$3-D373</f>
        <v/>
      </c>
      <c r="G373">
        <f>IF(D373&gt;Summary!$B$3,"Current",IF(F373&lt;=30,"0-30",IF(F373&lt;=60,"31-60",IF(F373&lt;=90,"61-90","90+"))))</f>
        <v/>
      </c>
    </row>
    <row r="374">
      <c r="A374" t="inlineStr">
        <is>
          <t>0009012896</t>
        </is>
      </c>
      <c r="B374" t="inlineStr">
        <is>
          <t>0000100543</t>
        </is>
      </c>
      <c r="C374" s="3" t="n">
        <v>45447</v>
      </c>
      <c r="D374" s="3" t="n">
        <v>45507</v>
      </c>
      <c r="E374" s="4" t="n">
        <v>40.85</v>
      </c>
      <c r="F374">
        <f>Summary!$B$3-D374</f>
        <v/>
      </c>
      <c r="G374">
        <f>IF(D374&gt;Summary!$B$3,"Current",IF(F374&lt;=30,"0-30",IF(F374&lt;=60,"31-60",IF(F374&lt;=90,"61-90","90+"))))</f>
        <v/>
      </c>
    </row>
    <row r="375">
      <c r="A375" t="inlineStr">
        <is>
          <t>0009012918</t>
        </is>
      </c>
      <c r="B375" t="inlineStr">
        <is>
          <t>0000100073</t>
        </is>
      </c>
      <c r="C375" s="3" t="n">
        <v>45443</v>
      </c>
      <c r="D375" s="3" t="n">
        <v>45488</v>
      </c>
      <c r="E375" s="4" t="n">
        <v>671.8099999999999</v>
      </c>
      <c r="F375">
        <f>Summary!$B$3-D375</f>
        <v/>
      </c>
      <c r="G375">
        <f>IF(D375&gt;Summary!$B$3,"Current",IF(F375&lt;=30,"0-30",IF(F375&lt;=60,"31-60",IF(F375&lt;=90,"61-90","90+"))))</f>
        <v/>
      </c>
    </row>
    <row r="376">
      <c r="A376" t="inlineStr">
        <is>
          <t>0009012957</t>
        </is>
      </c>
      <c r="B376" t="inlineStr">
        <is>
          <t>0000100272</t>
        </is>
      </c>
      <c r="C376" s="3" t="n">
        <v>45444</v>
      </c>
      <c r="D376" s="3" t="n">
        <v>45504</v>
      </c>
      <c r="E376" s="4" t="n">
        <v>595.74</v>
      </c>
      <c r="F376">
        <f>Summary!$B$3-D376</f>
        <v/>
      </c>
      <c r="G376">
        <f>IF(D376&gt;Summary!$B$3,"Current",IF(F376&lt;=30,"0-30",IF(F376&lt;=60,"31-60",IF(F376&lt;=90,"61-90","90+"))))</f>
        <v/>
      </c>
    </row>
    <row r="377">
      <c r="A377" t="inlineStr">
        <is>
          <t>0009013055</t>
        </is>
      </c>
      <c r="B377" t="inlineStr">
        <is>
          <t>0000100115</t>
        </is>
      </c>
      <c r="C377" s="3" t="n">
        <v>45447</v>
      </c>
      <c r="D377" s="3" t="n">
        <v>45477</v>
      </c>
      <c r="E377" s="4" t="n">
        <v>170.16</v>
      </c>
      <c r="F377">
        <f>Summary!$B$3-D377</f>
        <v/>
      </c>
      <c r="G377">
        <f>IF(D377&gt;Summary!$B$3,"Current",IF(F377&lt;=30,"0-30",IF(F377&lt;=60,"31-60",IF(F377&lt;=90,"61-90","90+"))))</f>
        <v/>
      </c>
    </row>
    <row r="378">
      <c r="A378" t="inlineStr">
        <is>
          <t>0009013221</t>
        </is>
      </c>
      <c r="B378" t="inlineStr">
        <is>
          <t>0000100272</t>
        </is>
      </c>
      <c r="C378" s="3" t="n">
        <v>45452</v>
      </c>
      <c r="D378" s="3" t="n">
        <v>45512</v>
      </c>
      <c r="E378" s="4" t="n">
        <v>154.56</v>
      </c>
      <c r="F378">
        <f>Summary!$B$3-D378</f>
        <v/>
      </c>
      <c r="G378">
        <f>IF(D378&gt;Summary!$B$3,"Current",IF(F378&lt;=30,"0-30",IF(F378&lt;=60,"31-60",IF(F378&lt;=90,"61-90","90+"))))</f>
        <v/>
      </c>
    </row>
    <row r="379">
      <c r="A379" t="inlineStr">
        <is>
          <t>0009013260</t>
        </is>
      </c>
      <c r="B379" t="inlineStr">
        <is>
          <t>0000100564</t>
        </is>
      </c>
      <c r="C379" s="3" t="n">
        <v>45461</v>
      </c>
      <c r="D379" s="3" t="n">
        <v>45491</v>
      </c>
      <c r="E379" s="4" t="n">
        <v>401.41</v>
      </c>
      <c r="F379">
        <f>Summary!$B$3-D379</f>
        <v/>
      </c>
      <c r="G379">
        <f>IF(D379&gt;Summary!$B$3,"Current",IF(F379&lt;=30,"0-30",IF(F379&lt;=60,"31-60",IF(F379&lt;=90,"61-90","90+"))))</f>
        <v/>
      </c>
    </row>
    <row r="380">
      <c r="A380" t="inlineStr">
        <is>
          <t>0009013266</t>
        </is>
      </c>
      <c r="B380" t="inlineStr">
        <is>
          <t>0000100462</t>
        </is>
      </c>
      <c r="C380" s="3" t="n">
        <v>45454</v>
      </c>
      <c r="D380" s="3" t="n">
        <v>45484</v>
      </c>
      <c r="E380" s="4" t="n">
        <v>379.11</v>
      </c>
      <c r="F380">
        <f>Summary!$B$3-D380</f>
        <v/>
      </c>
      <c r="G380">
        <f>IF(D380&gt;Summary!$B$3,"Current",IF(F380&lt;=30,"0-30",IF(F380&lt;=60,"31-60",IF(F380&lt;=90,"61-90","90+"))))</f>
        <v/>
      </c>
    </row>
    <row r="381">
      <c r="A381" t="inlineStr">
        <is>
          <t>0009013291</t>
        </is>
      </c>
      <c r="B381" t="inlineStr">
        <is>
          <t>0000100012</t>
        </is>
      </c>
      <c r="C381" s="3" t="n">
        <v>45458</v>
      </c>
      <c r="D381" s="3" t="n">
        <v>45518</v>
      </c>
      <c r="E381" s="4" t="n">
        <v>178.2</v>
      </c>
      <c r="F381">
        <f>Summary!$B$3-D381</f>
        <v/>
      </c>
      <c r="G381">
        <f>IF(D381&gt;Summary!$B$3,"Current",IF(F381&lt;=30,"0-30",IF(F381&lt;=60,"31-60",IF(F381&lt;=90,"61-90","90+"))))</f>
        <v/>
      </c>
    </row>
    <row r="382">
      <c r="A382" t="inlineStr">
        <is>
          <t>0009013302</t>
        </is>
      </c>
      <c r="B382" t="inlineStr">
        <is>
          <t>0000100243</t>
        </is>
      </c>
      <c r="C382" s="3" t="n">
        <v>45454</v>
      </c>
      <c r="D382" s="3" t="n">
        <v>45484</v>
      </c>
      <c r="E382" s="4" t="n">
        <v>87.75</v>
      </c>
      <c r="F382">
        <f>Summary!$B$3-D382</f>
        <v/>
      </c>
      <c r="G382">
        <f>IF(D382&gt;Summary!$B$3,"Current",IF(F382&lt;=30,"0-30",IF(F382&lt;=60,"31-60",IF(F382&lt;=90,"61-90","90+"))))</f>
        <v/>
      </c>
    </row>
    <row r="383">
      <c r="A383" t="inlineStr">
        <is>
          <t>0009013316</t>
        </is>
      </c>
      <c r="B383" t="inlineStr">
        <is>
          <t>0000100019</t>
        </is>
      </c>
      <c r="C383" s="3" t="n">
        <v>45461</v>
      </c>
      <c r="D383" s="3" t="n">
        <v>45491</v>
      </c>
      <c r="E383" s="4" t="n">
        <v>288.04</v>
      </c>
      <c r="F383">
        <f>Summary!$B$3-D383</f>
        <v/>
      </c>
      <c r="G383">
        <f>IF(D383&gt;Summary!$B$3,"Current",IF(F383&lt;=30,"0-30",IF(F383&lt;=60,"31-60",IF(F383&lt;=90,"61-90","90+"))))</f>
        <v/>
      </c>
    </row>
    <row r="384">
      <c r="A384" t="inlineStr">
        <is>
          <t>0009013355</t>
        </is>
      </c>
      <c r="B384" t="inlineStr">
        <is>
          <t>0000100128</t>
        </is>
      </c>
      <c r="C384" s="3" t="n">
        <v>45459</v>
      </c>
      <c r="D384" s="3" t="n">
        <v>45489</v>
      </c>
      <c r="E384" s="4" t="n">
        <v>605.66</v>
      </c>
      <c r="F384">
        <f>Summary!$B$3-D384</f>
        <v/>
      </c>
      <c r="G384">
        <f>IF(D384&gt;Summary!$B$3,"Current",IF(F384&lt;=30,"0-30",IF(F384&lt;=60,"31-60",IF(F384&lt;=90,"61-90","90+"))))</f>
        <v/>
      </c>
    </row>
    <row r="385">
      <c r="A385" t="inlineStr">
        <is>
          <t>0009013382</t>
        </is>
      </c>
      <c r="B385" t="inlineStr">
        <is>
          <t>0000100552</t>
        </is>
      </c>
      <c r="C385" s="3" t="n">
        <v>45466</v>
      </c>
      <c r="D385" s="3" t="n">
        <v>45496</v>
      </c>
      <c r="E385" s="4" t="n">
        <v>359.95</v>
      </c>
      <c r="F385">
        <f>Summary!$B$3-D385</f>
        <v/>
      </c>
      <c r="G385">
        <f>IF(D385&gt;Summary!$B$3,"Current",IF(F385&lt;=30,"0-30",IF(F385&lt;=60,"31-60",IF(F385&lt;=90,"61-90","90+"))))</f>
        <v/>
      </c>
    </row>
    <row r="386">
      <c r="A386" t="inlineStr">
        <is>
          <t>0009013414</t>
        </is>
      </c>
      <c r="B386" t="inlineStr">
        <is>
          <t>0000100545</t>
        </is>
      </c>
      <c r="C386" s="3" t="n">
        <v>45461</v>
      </c>
      <c r="D386" s="3" t="n">
        <v>45491</v>
      </c>
      <c r="E386" s="4" t="n">
        <v>362.39</v>
      </c>
      <c r="F386">
        <f>Summary!$B$3-D386</f>
        <v/>
      </c>
      <c r="G386">
        <f>IF(D386&gt;Summary!$B$3,"Current",IF(F386&lt;=30,"0-30",IF(F386&lt;=60,"31-60",IF(F386&lt;=90,"61-90","90+"))))</f>
        <v/>
      </c>
    </row>
    <row r="387">
      <c r="A387" t="inlineStr">
        <is>
          <t>0009013472</t>
        </is>
      </c>
      <c r="B387" t="inlineStr">
        <is>
          <t>0000100018</t>
        </is>
      </c>
      <c r="C387" s="3" t="n">
        <v>45463</v>
      </c>
      <c r="D387" s="3" t="n">
        <v>45493</v>
      </c>
      <c r="E387" s="4" t="n">
        <v>155.79</v>
      </c>
      <c r="F387">
        <f>Summary!$B$3-D387</f>
        <v/>
      </c>
      <c r="G387">
        <f>IF(D387&gt;Summary!$B$3,"Current",IF(F387&lt;=30,"0-30",IF(F387&lt;=60,"31-60",IF(F387&lt;=90,"61-90","90+"))))</f>
        <v/>
      </c>
    </row>
    <row r="388">
      <c r="A388" t="inlineStr">
        <is>
          <t>0009013510</t>
        </is>
      </c>
      <c r="B388" t="inlineStr">
        <is>
          <t>0000100141</t>
        </is>
      </c>
      <c r="C388" s="3" t="n">
        <v>45467</v>
      </c>
      <c r="D388" s="3" t="n">
        <v>45497</v>
      </c>
      <c r="E388" s="4" t="n">
        <v>146.3</v>
      </c>
      <c r="F388">
        <f>Summary!$B$3-D388</f>
        <v/>
      </c>
      <c r="G388">
        <f>IF(D388&gt;Summary!$B$3,"Current",IF(F388&lt;=30,"0-30",IF(F388&lt;=60,"31-60",IF(F388&lt;=90,"61-90","90+"))))</f>
        <v/>
      </c>
    </row>
    <row r="389">
      <c r="A389" t="inlineStr">
        <is>
          <t>0009013522</t>
        </is>
      </c>
      <c r="B389" t="inlineStr">
        <is>
          <t>0000100111</t>
        </is>
      </c>
      <c r="C389" s="3" t="n">
        <v>45468</v>
      </c>
      <c r="D389" s="3" t="n">
        <v>45513</v>
      </c>
      <c r="E389" s="4" t="n">
        <v>2005.77</v>
      </c>
      <c r="F389">
        <f>Summary!$B$3-D389</f>
        <v/>
      </c>
      <c r="G389">
        <f>IF(D389&gt;Summary!$B$3,"Current",IF(F389&lt;=30,"0-30",IF(F389&lt;=60,"31-60",IF(F389&lt;=90,"61-90","90+"))))</f>
        <v/>
      </c>
    </row>
    <row r="390">
      <c r="A390" t="inlineStr">
        <is>
          <t>0009013550</t>
        </is>
      </c>
      <c r="B390" t="inlineStr">
        <is>
          <t>0000100164</t>
        </is>
      </c>
      <c r="C390" s="3" t="n">
        <v>45469</v>
      </c>
      <c r="D390" s="3" t="n">
        <v>45529</v>
      </c>
      <c r="E390" s="4" t="n">
        <v>1483.84</v>
      </c>
      <c r="F390">
        <f>Summary!$B$3-D390</f>
        <v/>
      </c>
      <c r="G390">
        <f>IF(D390&gt;Summary!$B$3,"Current",IF(F390&lt;=30,"0-30",IF(F390&lt;=60,"31-60",IF(F390&lt;=90,"61-90","90+"))))</f>
        <v/>
      </c>
    </row>
    <row r="391">
      <c r="A391" t="inlineStr">
        <is>
          <t>0009013600</t>
        </is>
      </c>
      <c r="B391" t="inlineStr">
        <is>
          <t>0000100539</t>
        </is>
      </c>
      <c r="C391" s="3" t="n">
        <v>45470</v>
      </c>
      <c r="D391" s="3" t="n">
        <v>45515</v>
      </c>
      <c r="E391" s="4" t="n">
        <v>5523.89</v>
      </c>
      <c r="F391">
        <f>Summary!$B$3-D391</f>
        <v/>
      </c>
      <c r="G391">
        <f>IF(D391&gt;Summary!$B$3,"Current",IF(F391&lt;=30,"0-30",IF(F391&lt;=60,"31-60",IF(F391&lt;=90,"61-90","90+"))))</f>
        <v/>
      </c>
    </row>
    <row r="392">
      <c r="A392" t="inlineStr">
        <is>
          <t>0009013616</t>
        </is>
      </c>
      <c r="B392" t="inlineStr">
        <is>
          <t>0000100383</t>
        </is>
      </c>
      <c r="C392" s="3" t="n">
        <v>45472</v>
      </c>
      <c r="D392" s="3" t="n">
        <v>45502</v>
      </c>
      <c r="E392" s="4" t="n">
        <v>1431.69</v>
      </c>
      <c r="F392">
        <f>Summary!$B$3-D392</f>
        <v/>
      </c>
      <c r="G392">
        <f>IF(D392&gt;Summary!$B$3,"Current",IF(F392&lt;=30,"0-30",IF(F392&lt;=60,"31-60",IF(F392&lt;=90,"61-90","90+"))))</f>
        <v/>
      </c>
    </row>
    <row r="393">
      <c r="A393" t="inlineStr">
        <is>
          <t>0009013620</t>
        </is>
      </c>
      <c r="B393" t="inlineStr">
        <is>
          <t>0000100400</t>
        </is>
      </c>
      <c r="C393" s="3" t="n">
        <v>45470</v>
      </c>
      <c r="D393" s="3" t="n">
        <v>45500</v>
      </c>
      <c r="E393" s="4" t="n">
        <v>409.49</v>
      </c>
      <c r="F393">
        <f>Summary!$B$3-D393</f>
        <v/>
      </c>
      <c r="G393">
        <f>IF(D393&gt;Summary!$B$3,"Current",IF(F393&lt;=30,"0-30",IF(F393&lt;=60,"31-60",IF(F393&lt;=90,"61-90","90+"))))</f>
        <v/>
      </c>
    </row>
    <row r="394">
      <c r="A394" t="inlineStr">
        <is>
          <t>0009013627</t>
        </is>
      </c>
      <c r="B394" t="inlineStr">
        <is>
          <t>0000100324</t>
        </is>
      </c>
      <c r="C394" s="3" t="n">
        <v>45474</v>
      </c>
      <c r="D394" s="3" t="n">
        <v>45504</v>
      </c>
      <c r="E394" s="4" t="n">
        <v>188.78</v>
      </c>
      <c r="F394">
        <f>Summary!$B$3-D394</f>
        <v/>
      </c>
      <c r="G394">
        <f>IF(D394&gt;Summary!$B$3,"Current",IF(F394&lt;=30,"0-30",IF(F394&lt;=60,"31-60",IF(F394&lt;=90,"61-90","90+"))))</f>
        <v/>
      </c>
    </row>
    <row r="395">
      <c r="A395" t="inlineStr">
        <is>
          <t>0009013643</t>
        </is>
      </c>
      <c r="B395" t="inlineStr">
        <is>
          <t>0000100192</t>
        </is>
      </c>
      <c r="C395" s="3" t="n">
        <v>45470</v>
      </c>
      <c r="D395" s="3" t="n">
        <v>45500</v>
      </c>
      <c r="E395" s="4" t="n">
        <v>1863.75</v>
      </c>
      <c r="F395">
        <f>Summary!$B$3-D395</f>
        <v/>
      </c>
      <c r="G395">
        <f>IF(D395&gt;Summary!$B$3,"Current",IF(F395&lt;=30,"0-30",IF(F395&lt;=60,"31-60",IF(F395&lt;=90,"61-90","90+"))))</f>
        <v/>
      </c>
    </row>
    <row r="396">
      <c r="A396" t="inlineStr">
        <is>
          <t>0009013701</t>
        </is>
      </c>
      <c r="B396" t="inlineStr">
        <is>
          <t>0000100279</t>
        </is>
      </c>
      <c r="C396" s="3" t="n">
        <v>45482</v>
      </c>
      <c r="D396" s="3" t="n">
        <v>45527</v>
      </c>
      <c r="E396" s="4" t="n">
        <v>270.91</v>
      </c>
      <c r="F396">
        <f>Summary!$B$3-D396</f>
        <v/>
      </c>
      <c r="G396">
        <f>IF(D396&gt;Summary!$B$3,"Current",IF(F396&lt;=30,"0-30",IF(F396&lt;=60,"31-60",IF(F396&lt;=90,"61-90","90+"))))</f>
        <v/>
      </c>
    </row>
    <row r="397">
      <c r="A397" t="inlineStr">
        <is>
          <t>0009013728</t>
        </is>
      </c>
      <c r="B397" t="inlineStr">
        <is>
          <t>0000100240</t>
        </is>
      </c>
      <c r="C397" s="3" t="n">
        <v>45473</v>
      </c>
      <c r="D397" s="3" t="n">
        <v>45503</v>
      </c>
      <c r="E397" s="4" t="n">
        <v>371.55</v>
      </c>
      <c r="F397">
        <f>Summary!$B$3-D397</f>
        <v/>
      </c>
      <c r="G397">
        <f>IF(D397&gt;Summary!$B$3,"Current",IF(F397&lt;=30,"0-30",IF(F397&lt;=60,"31-60",IF(F397&lt;=90,"61-90","90+"))))</f>
        <v/>
      </c>
    </row>
    <row r="398">
      <c r="A398" t="inlineStr">
        <is>
          <t>0009013735</t>
        </is>
      </c>
      <c r="B398" t="inlineStr">
        <is>
          <t>0000100114</t>
        </is>
      </c>
      <c r="C398" s="3" t="n">
        <v>45471</v>
      </c>
      <c r="D398" s="3" t="n">
        <v>45516</v>
      </c>
      <c r="E398" s="4" t="n">
        <v>248.97</v>
      </c>
      <c r="F398">
        <f>Summary!$B$3-D398</f>
        <v/>
      </c>
      <c r="G398">
        <f>IF(D398&gt;Summary!$B$3,"Current",IF(F398&lt;=30,"0-30",IF(F398&lt;=60,"31-60",IF(F398&lt;=90,"61-90","90+"))))</f>
        <v/>
      </c>
    </row>
    <row r="399">
      <c r="A399" t="inlineStr">
        <is>
          <t>0009013748</t>
        </is>
      </c>
      <c r="B399" t="inlineStr">
        <is>
          <t>0000100420</t>
        </is>
      </c>
      <c r="C399" s="3" t="n">
        <v>45473</v>
      </c>
      <c r="D399" s="3" t="n">
        <v>45533</v>
      </c>
      <c r="E399" s="4" t="n">
        <v>28.02</v>
      </c>
      <c r="F399">
        <f>Summary!$B$3-D399</f>
        <v/>
      </c>
      <c r="G399">
        <f>IF(D399&gt;Summary!$B$3,"Current",IF(F399&lt;=30,"0-30",IF(F399&lt;=60,"31-60",IF(F399&lt;=90,"61-90","90+"))))</f>
        <v/>
      </c>
    </row>
    <row r="400">
      <c r="A400" t="inlineStr">
        <is>
          <t>0009013775</t>
        </is>
      </c>
      <c r="B400" t="inlineStr">
        <is>
          <t>0000100450</t>
        </is>
      </c>
      <c r="C400" s="3" t="n">
        <v>45481</v>
      </c>
      <c r="D400" s="3" t="n">
        <v>45526</v>
      </c>
      <c r="E400" s="4" t="n">
        <v>184.44</v>
      </c>
      <c r="F400">
        <f>Summary!$B$3-D400</f>
        <v/>
      </c>
      <c r="G400">
        <f>IF(D400&gt;Summary!$B$3,"Current",IF(F400&lt;=30,"0-30",IF(F400&lt;=60,"31-60",IF(F400&lt;=90,"61-90","90+"))))</f>
        <v/>
      </c>
    </row>
    <row r="401">
      <c r="A401" t="inlineStr">
        <is>
          <t>0009013792</t>
        </is>
      </c>
      <c r="B401" t="inlineStr">
        <is>
          <t>0000100416</t>
        </is>
      </c>
      <c r="C401" s="3" t="n">
        <v>45475</v>
      </c>
      <c r="D401" s="3" t="n">
        <v>45520</v>
      </c>
      <c r="E401" s="4" t="n">
        <v>2180.58</v>
      </c>
      <c r="F401">
        <f>Summary!$B$3-D401</f>
        <v/>
      </c>
      <c r="G401">
        <f>IF(D401&gt;Summary!$B$3,"Current",IF(F401&lt;=30,"0-30",IF(F401&lt;=60,"31-60",IF(F401&lt;=90,"61-90","90+"))))</f>
        <v/>
      </c>
    </row>
    <row r="402">
      <c r="A402" t="inlineStr">
        <is>
          <t>0009013874</t>
        </is>
      </c>
      <c r="B402" t="inlineStr">
        <is>
          <t>0000100254</t>
        </is>
      </c>
      <c r="C402" s="3" t="n">
        <v>45482</v>
      </c>
      <c r="D402" s="3" t="n">
        <v>45512</v>
      </c>
      <c r="E402" s="4" t="n">
        <v>328.78</v>
      </c>
      <c r="F402">
        <f>Summary!$B$3-D402</f>
        <v/>
      </c>
      <c r="G402">
        <f>IF(D402&gt;Summary!$B$3,"Current",IF(F402&lt;=30,"0-30",IF(F402&lt;=60,"31-60",IF(F402&lt;=90,"61-90","90+"))))</f>
        <v/>
      </c>
    </row>
    <row r="403">
      <c r="A403" t="inlineStr">
        <is>
          <t>0009013927</t>
        </is>
      </c>
      <c r="B403" t="inlineStr">
        <is>
          <t>0000100571</t>
        </is>
      </c>
      <c r="C403" s="3" t="n">
        <v>45486</v>
      </c>
      <c r="D403" s="3" t="n">
        <v>45531</v>
      </c>
      <c r="E403" s="4" t="n">
        <v>301.46</v>
      </c>
      <c r="F403">
        <f>Summary!$B$3-D403</f>
        <v/>
      </c>
      <c r="G403">
        <f>IF(D403&gt;Summary!$B$3,"Current",IF(F403&lt;=30,"0-30",IF(F403&lt;=60,"31-60",IF(F403&lt;=90,"61-90","90+"))))</f>
        <v/>
      </c>
    </row>
    <row r="404">
      <c r="A404" t="inlineStr">
        <is>
          <t>0009013937</t>
        </is>
      </c>
      <c r="B404" t="inlineStr">
        <is>
          <t>0000100141</t>
        </is>
      </c>
      <c r="C404" s="3" t="n">
        <v>45494</v>
      </c>
      <c r="D404" s="3" t="n">
        <v>45524</v>
      </c>
      <c r="E404" s="4" t="n">
        <v>1776.04</v>
      </c>
      <c r="F404">
        <f>Summary!$B$3-D404</f>
        <v/>
      </c>
      <c r="G404">
        <f>IF(D404&gt;Summary!$B$3,"Current",IF(F404&lt;=30,"0-30",IF(F404&lt;=60,"31-60",IF(F404&lt;=90,"61-90","90+"))))</f>
        <v/>
      </c>
    </row>
    <row r="405">
      <c r="A405" t="inlineStr">
        <is>
          <t>0009013979</t>
        </is>
      </c>
      <c r="B405" t="inlineStr">
        <is>
          <t>0000100344</t>
        </is>
      </c>
      <c r="C405" s="3" t="n">
        <v>45483</v>
      </c>
      <c r="D405" s="3" t="n">
        <v>45513</v>
      </c>
      <c r="E405" s="4" t="n">
        <v>494</v>
      </c>
      <c r="F405">
        <f>Summary!$B$3-D405</f>
        <v/>
      </c>
      <c r="G405">
        <f>IF(D405&gt;Summary!$B$3,"Current",IF(F405&lt;=30,"0-30",IF(F405&lt;=60,"31-60",IF(F405&lt;=90,"61-90","90+"))))</f>
        <v/>
      </c>
    </row>
    <row r="406">
      <c r="A406" t="inlineStr">
        <is>
          <t>0009013997</t>
        </is>
      </c>
      <c r="B406" t="inlineStr">
        <is>
          <t>0000100372</t>
        </is>
      </c>
      <c r="C406" s="3" t="n">
        <v>45497</v>
      </c>
      <c r="D406" s="3" t="n">
        <v>45527</v>
      </c>
      <c r="E406" s="4" t="n">
        <v>1002.12</v>
      </c>
      <c r="F406">
        <f>Summary!$B$3-D406</f>
        <v/>
      </c>
      <c r="G406">
        <f>IF(D406&gt;Summary!$B$3,"Current",IF(F406&lt;=30,"0-30",IF(F406&lt;=60,"31-60",IF(F406&lt;=90,"61-90","90+"))))</f>
        <v/>
      </c>
    </row>
    <row r="407">
      <c r="A407" t="inlineStr">
        <is>
          <t>0009014059</t>
        </is>
      </c>
      <c r="B407" t="inlineStr">
        <is>
          <t>0000100377</t>
        </is>
      </c>
      <c r="C407" s="3" t="n">
        <v>45491</v>
      </c>
      <c r="D407" s="3" t="n">
        <v>45521</v>
      </c>
      <c r="E407" s="4" t="n">
        <v>1376.98</v>
      </c>
      <c r="F407">
        <f>Summary!$B$3-D407</f>
        <v/>
      </c>
      <c r="G407">
        <f>IF(D407&gt;Summary!$B$3,"Current",IF(F407&lt;=30,"0-30",IF(F407&lt;=60,"31-60",IF(F407&lt;=90,"61-90","90+"))))</f>
        <v/>
      </c>
    </row>
    <row r="408">
      <c r="A408" t="inlineStr">
        <is>
          <t>0009014061</t>
        </is>
      </c>
      <c r="B408" t="inlineStr">
        <is>
          <t>0000100545</t>
        </is>
      </c>
      <c r="C408" s="3" t="n">
        <v>45493</v>
      </c>
      <c r="D408" s="3" t="n">
        <v>45523</v>
      </c>
      <c r="E408" s="4" t="n">
        <v>2048.36</v>
      </c>
      <c r="F408">
        <f>Summary!$B$3-D408</f>
        <v/>
      </c>
      <c r="G408">
        <f>IF(D408&gt;Summary!$B$3,"Current",IF(F408&lt;=30,"0-30",IF(F408&lt;=60,"31-60",IF(F408&lt;=90,"61-90","90+"))))</f>
        <v/>
      </c>
    </row>
    <row r="409">
      <c r="A409" t="inlineStr">
        <is>
          <t>0009014066</t>
        </is>
      </c>
      <c r="B409" t="inlineStr">
        <is>
          <t>0000100550</t>
        </is>
      </c>
      <c r="C409" s="3" t="n">
        <v>45487</v>
      </c>
      <c r="D409" s="3" t="n">
        <v>45517</v>
      </c>
      <c r="E409" s="4" t="n">
        <v>39.68</v>
      </c>
      <c r="F409">
        <f>Summary!$B$3-D409</f>
        <v/>
      </c>
      <c r="G409">
        <f>IF(D409&gt;Summary!$B$3,"Current",IF(F409&lt;=30,"0-30",IF(F409&lt;=60,"31-60",IF(F409&lt;=90,"61-90","90+"))))</f>
        <v/>
      </c>
    </row>
    <row r="410">
      <c r="A410" t="inlineStr">
        <is>
          <t>0009014085</t>
        </is>
      </c>
      <c r="B410" t="inlineStr">
        <is>
          <t>0000100550</t>
        </is>
      </c>
      <c r="C410" s="3" t="n">
        <v>45491</v>
      </c>
      <c r="D410" s="3" t="n">
        <v>45521</v>
      </c>
      <c r="E410" s="4" t="n">
        <v>541.63</v>
      </c>
      <c r="F410">
        <f>Summary!$B$3-D410</f>
        <v/>
      </c>
      <c r="G410">
        <f>IF(D410&gt;Summary!$B$3,"Current",IF(F410&lt;=30,"0-30",IF(F410&lt;=60,"31-60",IF(F410&lt;=90,"61-90","90+"))))</f>
        <v/>
      </c>
    </row>
    <row r="411">
      <c r="A411" t="inlineStr">
        <is>
          <t>0009014117</t>
        </is>
      </c>
      <c r="B411" t="inlineStr">
        <is>
          <t>0000100272</t>
        </is>
      </c>
      <c r="C411" s="3" t="n">
        <v>45488</v>
      </c>
      <c r="D411" s="3" t="n">
        <v>45548</v>
      </c>
      <c r="E411" s="4" t="n">
        <v>6083.82</v>
      </c>
      <c r="F411">
        <f>Summary!$B$3-D411</f>
        <v/>
      </c>
      <c r="G411">
        <f>IF(D411&gt;Summary!$B$3,"Current",IF(F411&lt;=30,"0-30",IF(F411&lt;=60,"31-60",IF(F411&lt;=90,"61-90","90+"))))</f>
        <v/>
      </c>
    </row>
    <row r="412">
      <c r="A412" t="inlineStr">
        <is>
          <t>0009014183</t>
        </is>
      </c>
      <c r="B412" t="inlineStr">
        <is>
          <t>0000100049</t>
        </is>
      </c>
      <c r="C412" s="3" t="n">
        <v>45502</v>
      </c>
      <c r="D412" s="3" t="n">
        <v>45532</v>
      </c>
      <c r="E412" s="4" t="n">
        <v>1527.99</v>
      </c>
      <c r="F412">
        <f>Summary!$B$3-D412</f>
        <v/>
      </c>
      <c r="G412">
        <f>IF(D412&gt;Summary!$B$3,"Current",IF(F412&lt;=30,"0-30",IF(F412&lt;=60,"31-60",IF(F412&lt;=90,"61-90","90+"))))</f>
        <v/>
      </c>
    </row>
    <row r="413">
      <c r="A413" t="inlineStr">
        <is>
          <t>0009014248</t>
        </is>
      </c>
      <c r="B413" t="inlineStr">
        <is>
          <t>0000100573</t>
        </is>
      </c>
      <c r="C413" s="3" t="n">
        <v>45497</v>
      </c>
      <c r="D413" s="3" t="n">
        <v>45542</v>
      </c>
      <c r="E413" s="4" t="n">
        <v>4927.26</v>
      </c>
      <c r="F413">
        <f>Summary!$B$3-D413</f>
        <v/>
      </c>
      <c r="G413">
        <f>IF(D413&gt;Summary!$B$3,"Current",IF(F413&lt;=30,"0-30",IF(F413&lt;=60,"31-60",IF(F413&lt;=90,"61-90","90+"))))</f>
        <v/>
      </c>
    </row>
    <row r="414">
      <c r="A414" t="inlineStr">
        <is>
          <t>0009014274</t>
        </is>
      </c>
      <c r="B414" t="inlineStr">
        <is>
          <t>0000100536</t>
        </is>
      </c>
      <c r="C414" s="3" t="n">
        <v>45498</v>
      </c>
      <c r="D414" s="3" t="n">
        <v>45528</v>
      </c>
      <c r="E414" s="4" t="n">
        <v>191.85</v>
      </c>
      <c r="F414">
        <f>Summary!$B$3-D414</f>
        <v/>
      </c>
      <c r="G414">
        <f>IF(D414&gt;Summary!$B$3,"Current",IF(F414&lt;=30,"0-30",IF(F414&lt;=60,"31-60",IF(F414&lt;=90,"61-90","90+"))))</f>
        <v/>
      </c>
    </row>
    <row r="415">
      <c r="A415" t="inlineStr">
        <is>
          <t>0009014288</t>
        </is>
      </c>
      <c r="B415" t="inlineStr">
        <is>
          <t>0000100571</t>
        </is>
      </c>
      <c r="C415" s="3" t="n">
        <v>45500</v>
      </c>
      <c r="D415" s="3" t="n">
        <v>45545</v>
      </c>
      <c r="E415" s="4" t="n">
        <v>374.31</v>
      </c>
      <c r="F415">
        <f>Summary!$B$3-D415</f>
        <v/>
      </c>
      <c r="G415">
        <f>IF(D415&gt;Summary!$B$3,"Current",IF(F415&lt;=30,"0-30",IF(F415&lt;=60,"31-60",IF(F415&lt;=90,"61-90","90+"))))</f>
        <v/>
      </c>
    </row>
    <row r="416">
      <c r="A416" t="inlineStr">
        <is>
          <t>0009014326</t>
        </is>
      </c>
      <c r="B416" t="inlineStr">
        <is>
          <t>0000100312</t>
        </is>
      </c>
      <c r="C416" s="3" t="n">
        <v>45497</v>
      </c>
      <c r="D416" s="3" t="n">
        <v>45557</v>
      </c>
      <c r="E416" s="4" t="n">
        <v>849.76</v>
      </c>
      <c r="F416">
        <f>Summary!$B$3-D416</f>
        <v/>
      </c>
      <c r="G416">
        <f>IF(D416&gt;Summary!$B$3,"Current",IF(F416&lt;=30,"0-30",IF(F416&lt;=60,"31-60",IF(F416&lt;=90,"61-90","90+"))))</f>
        <v/>
      </c>
    </row>
    <row r="417">
      <c r="A417" t="inlineStr">
        <is>
          <t>0009014504</t>
        </is>
      </c>
      <c r="B417" t="inlineStr">
        <is>
          <t>0000100394</t>
        </is>
      </c>
      <c r="C417" s="3" t="n">
        <v>45509</v>
      </c>
      <c r="D417" s="3" t="n">
        <v>45569</v>
      </c>
      <c r="E417" s="4" t="n">
        <v>1691.46</v>
      </c>
      <c r="F417">
        <f>Summary!$B$3-D417</f>
        <v/>
      </c>
      <c r="G417">
        <f>IF(D417&gt;Summary!$B$3,"Current",IF(F417&lt;=30,"0-30",IF(F417&lt;=60,"31-60",IF(F417&lt;=90,"61-90","90+"))))</f>
        <v/>
      </c>
    </row>
    <row r="418">
      <c r="A418" t="inlineStr">
        <is>
          <t>0009014518</t>
        </is>
      </c>
      <c r="B418" t="inlineStr">
        <is>
          <t>0000100517</t>
        </is>
      </c>
      <c r="C418" s="3" t="n">
        <v>45504</v>
      </c>
      <c r="D418" s="3" t="n">
        <v>45549</v>
      </c>
      <c r="E418" s="4" t="n">
        <v>649.89</v>
      </c>
      <c r="F418">
        <f>Summary!$B$3-D418</f>
        <v/>
      </c>
      <c r="G418">
        <f>IF(D418&gt;Summary!$B$3,"Current",IF(F418&lt;=30,"0-30",IF(F418&lt;=60,"31-60",IF(F418&lt;=90,"61-90","90+"))))</f>
        <v/>
      </c>
    </row>
    <row r="419">
      <c r="A419" t="inlineStr">
        <is>
          <t>0009014773</t>
        </is>
      </c>
      <c r="B419" t="inlineStr">
        <is>
          <t>0000100582</t>
        </is>
      </c>
      <c r="C419" s="3" t="n">
        <v>45526</v>
      </c>
      <c r="D419" s="3" t="n">
        <v>45556</v>
      </c>
      <c r="E419" s="4" t="n">
        <v>67.52</v>
      </c>
      <c r="F419">
        <f>Summary!$B$3-D419</f>
        <v/>
      </c>
      <c r="G419">
        <f>IF(D419&gt;Summary!$B$3,"Current",IF(F419&lt;=30,"0-30",IF(F419&lt;=60,"31-60",IF(F419&lt;=90,"61-90","90+"))))</f>
        <v/>
      </c>
    </row>
    <row r="420">
      <c r="A420" t="inlineStr">
        <is>
          <t>0009014776</t>
        </is>
      </c>
      <c r="B420" t="inlineStr">
        <is>
          <t>0000100345</t>
        </is>
      </c>
      <c r="C420" s="3" t="n">
        <v>45518</v>
      </c>
      <c r="D420" s="3" t="n">
        <v>45548</v>
      </c>
      <c r="E420" s="4" t="n">
        <v>1966.93</v>
      </c>
      <c r="F420">
        <f>Summary!$B$3-D420</f>
        <v/>
      </c>
      <c r="G420">
        <f>IF(D420&gt;Summary!$B$3,"Current",IF(F420&lt;=30,"0-30",IF(F420&lt;=60,"31-60",IF(F420&lt;=90,"61-90","90+"))))</f>
        <v/>
      </c>
    </row>
    <row r="421">
      <c r="A421" t="inlineStr">
        <is>
          <t>0009014809</t>
        </is>
      </c>
      <c r="B421" t="inlineStr">
        <is>
          <t>0000100312</t>
        </is>
      </c>
      <c r="C421" s="3" t="n">
        <v>45522</v>
      </c>
      <c r="D421" s="3" t="n">
        <v>45582</v>
      </c>
      <c r="E421" s="4" t="n">
        <v>1160.78</v>
      </c>
      <c r="F421">
        <f>Summary!$B$3-D421</f>
        <v/>
      </c>
      <c r="G421">
        <f>IF(D421&gt;Summary!$B$3,"Current",IF(F421&lt;=30,"0-30",IF(F421&lt;=60,"31-60",IF(F421&lt;=90,"61-90","90+"))))</f>
        <v/>
      </c>
    </row>
    <row r="422">
      <c r="A422" t="inlineStr">
        <is>
          <t>0009014880</t>
        </is>
      </c>
      <c r="B422" t="inlineStr">
        <is>
          <t>0000100096</t>
        </is>
      </c>
      <c r="C422" s="3" t="n">
        <v>45526</v>
      </c>
      <c r="D422" s="3" t="n">
        <v>45571</v>
      </c>
      <c r="E422" s="4" t="n">
        <v>108.8</v>
      </c>
      <c r="F422">
        <f>Summary!$B$3-D422</f>
        <v/>
      </c>
      <c r="G422">
        <f>IF(D422&gt;Summary!$B$3,"Current",IF(F422&lt;=30,"0-30",IF(F422&lt;=60,"31-60",IF(F422&lt;=90,"61-90","90+"))))</f>
        <v/>
      </c>
    </row>
    <row r="423">
      <c r="A423" t="inlineStr">
        <is>
          <t>0009014910</t>
        </is>
      </c>
      <c r="B423" t="inlineStr">
        <is>
          <t>0000100586</t>
        </is>
      </c>
      <c r="C423" s="3" t="n">
        <v>45522</v>
      </c>
      <c r="D423" s="3" t="n">
        <v>45552</v>
      </c>
      <c r="E423" s="4" t="n">
        <v>364.6</v>
      </c>
      <c r="F423">
        <f>Summary!$B$3-D423</f>
        <v/>
      </c>
      <c r="G423">
        <f>IF(D423&gt;Summary!$B$3,"Current",IF(F423&lt;=30,"0-30",IF(F423&lt;=60,"31-60",IF(F423&lt;=90,"61-90","90+"))))</f>
        <v/>
      </c>
    </row>
    <row r="424">
      <c r="A424" t="inlineStr">
        <is>
          <t>0009014914</t>
        </is>
      </c>
      <c r="B424" t="inlineStr">
        <is>
          <t>0000100424</t>
        </is>
      </c>
      <c r="C424" s="3" t="n">
        <v>45530</v>
      </c>
      <c r="D424" s="3" t="n">
        <v>45575</v>
      </c>
      <c r="E424" s="4" t="n">
        <v>6048.11</v>
      </c>
      <c r="F424">
        <f>Summary!$B$3-D424</f>
        <v/>
      </c>
      <c r="G424">
        <f>IF(D424&gt;Summary!$B$3,"Current",IF(F424&lt;=30,"0-30",IF(F424&lt;=60,"31-60",IF(F424&lt;=90,"61-90","90+"))))</f>
        <v/>
      </c>
    </row>
    <row r="425">
      <c r="A425" t="inlineStr">
        <is>
          <t>0009014915</t>
        </is>
      </c>
      <c r="B425" t="inlineStr">
        <is>
          <t>0000100545</t>
        </is>
      </c>
      <c r="C425" s="3" t="n">
        <v>45527</v>
      </c>
      <c r="D425" s="3" t="n">
        <v>45557</v>
      </c>
      <c r="E425" s="4" t="n">
        <v>3291.57</v>
      </c>
      <c r="F425">
        <f>Summary!$B$3-D425</f>
        <v/>
      </c>
      <c r="G425">
        <f>IF(D425&gt;Summary!$B$3,"Current",IF(F425&lt;=30,"0-30",IF(F425&lt;=60,"31-60",IF(F425&lt;=90,"61-90","90+"))))</f>
        <v/>
      </c>
    </row>
    <row r="426">
      <c r="A426" t="inlineStr">
        <is>
          <t>0009014924</t>
        </is>
      </c>
      <c r="B426" t="inlineStr">
        <is>
          <t>0000100576</t>
        </is>
      </c>
      <c r="C426" s="3" t="n">
        <v>45531</v>
      </c>
      <c r="D426" s="3" t="n">
        <v>45561</v>
      </c>
      <c r="E426" s="4" t="n">
        <v>3991.8</v>
      </c>
      <c r="F426">
        <f>Summary!$B$3-D426</f>
        <v/>
      </c>
      <c r="G426">
        <f>IF(D426&gt;Summary!$B$3,"Current",IF(F426&lt;=30,"0-30",IF(F426&lt;=60,"31-60",IF(F426&lt;=90,"61-90","90+"))))</f>
        <v/>
      </c>
    </row>
    <row r="427">
      <c r="A427" t="inlineStr">
        <is>
          <t>0009014931</t>
        </is>
      </c>
      <c r="B427" t="inlineStr">
        <is>
          <t>0000100587</t>
        </is>
      </c>
      <c r="C427" s="3" t="n">
        <v>45526</v>
      </c>
      <c r="D427" s="3" t="n">
        <v>45586</v>
      </c>
      <c r="E427" s="4" t="n">
        <v>111.44</v>
      </c>
      <c r="F427">
        <f>Summary!$B$3-D427</f>
        <v/>
      </c>
      <c r="G427">
        <f>IF(D427&gt;Summary!$B$3,"Current",IF(F427&lt;=30,"0-30",IF(F427&lt;=60,"31-60",IF(F427&lt;=90,"61-90","90+"))))</f>
        <v/>
      </c>
    </row>
    <row r="428">
      <c r="A428" t="inlineStr">
        <is>
          <t>0009014950</t>
        </is>
      </c>
      <c r="B428" t="inlineStr">
        <is>
          <t>0000100498</t>
        </is>
      </c>
      <c r="C428" s="3" t="n">
        <v>45523</v>
      </c>
      <c r="D428" s="3" t="n">
        <v>45583</v>
      </c>
      <c r="E428" s="4" t="n">
        <v>68.16</v>
      </c>
      <c r="F428">
        <f>Summary!$B$3-D428</f>
        <v/>
      </c>
      <c r="G428">
        <f>IF(D428&gt;Summary!$B$3,"Current",IF(F428&lt;=30,"0-30",IF(F428&lt;=60,"31-60",IF(F428&lt;=90,"61-90","90+"))))</f>
        <v/>
      </c>
    </row>
    <row r="429">
      <c r="A429" t="inlineStr">
        <is>
          <t>0009015028</t>
        </is>
      </c>
      <c r="B429" t="inlineStr">
        <is>
          <t>0000100106</t>
        </is>
      </c>
      <c r="C429" s="3" t="n">
        <v>45533</v>
      </c>
      <c r="D429" s="3" t="n">
        <v>45578</v>
      </c>
      <c r="E429" s="4" t="n">
        <v>1110.27</v>
      </c>
      <c r="F429">
        <f>Summary!$B$3-D429</f>
        <v/>
      </c>
      <c r="G429">
        <f>IF(D429&gt;Summary!$B$3,"Current",IF(F429&lt;=30,"0-30",IF(F429&lt;=60,"31-60",IF(F429&lt;=90,"61-90","90+"))))</f>
        <v/>
      </c>
    </row>
    <row r="430">
      <c r="A430" t="inlineStr">
        <is>
          <t>0009015066</t>
        </is>
      </c>
      <c r="B430" t="inlineStr">
        <is>
          <t>0000100071</t>
        </is>
      </c>
      <c r="C430" s="3" t="n">
        <v>45539</v>
      </c>
      <c r="D430" s="3" t="n">
        <v>45584</v>
      </c>
      <c r="E430" s="4" t="n">
        <v>707.65</v>
      </c>
      <c r="F430">
        <f>Summary!$B$3-D430</f>
        <v/>
      </c>
      <c r="G430">
        <f>IF(D430&gt;Summary!$B$3,"Current",IF(F430&lt;=30,"0-30",IF(F430&lt;=60,"31-60",IF(F430&lt;=90,"61-90","90+"))))</f>
        <v/>
      </c>
    </row>
    <row r="431">
      <c r="A431" t="inlineStr">
        <is>
          <t>0009015165</t>
        </is>
      </c>
      <c r="B431" t="inlineStr">
        <is>
          <t>0000100514</t>
        </is>
      </c>
      <c r="C431" s="3" t="n">
        <v>45537</v>
      </c>
      <c r="D431" s="3" t="n">
        <v>45597</v>
      </c>
      <c r="E431" s="4" t="n">
        <v>1438.44</v>
      </c>
      <c r="F431">
        <f>Summary!$B$3-D431</f>
        <v/>
      </c>
      <c r="G431">
        <f>IF(D431&gt;Summary!$B$3,"Current",IF(F431&lt;=30,"0-30",IF(F431&lt;=60,"31-60",IF(F431&lt;=90,"61-90","90+"))))</f>
        <v/>
      </c>
    </row>
    <row r="432">
      <c r="A432" t="inlineStr">
        <is>
          <t>0009015195</t>
        </is>
      </c>
      <c r="B432" t="inlineStr">
        <is>
          <t>0000100124</t>
        </is>
      </c>
      <c r="C432" s="3" t="n">
        <v>45547</v>
      </c>
      <c r="D432" s="3" t="n">
        <v>45577</v>
      </c>
      <c r="E432" s="4" t="n">
        <v>9515.120000000001</v>
      </c>
      <c r="F432">
        <f>Summary!$B$3-D432</f>
        <v/>
      </c>
      <c r="G432">
        <f>IF(D432&gt;Summary!$B$3,"Current",IF(F432&lt;=30,"0-30",IF(F432&lt;=60,"31-60",IF(F432&lt;=90,"61-90","90+"))))</f>
        <v/>
      </c>
    </row>
    <row r="433">
      <c r="A433" t="inlineStr">
        <is>
          <t>0009015271</t>
        </is>
      </c>
      <c r="B433" t="inlineStr">
        <is>
          <t>0000100520</t>
        </is>
      </c>
      <c r="C433" s="3" t="n">
        <v>45535</v>
      </c>
      <c r="D433" s="3" t="n">
        <v>45580</v>
      </c>
      <c r="E433" s="4" t="n">
        <v>205.08</v>
      </c>
      <c r="F433">
        <f>Summary!$B$3-D433</f>
        <v/>
      </c>
      <c r="G433">
        <f>IF(D433&gt;Summary!$B$3,"Current",IF(F433&lt;=30,"0-30",IF(F433&lt;=60,"31-60",IF(F433&lt;=90,"61-90","90+"))))</f>
        <v/>
      </c>
    </row>
    <row r="434">
      <c r="A434" t="inlineStr">
        <is>
          <t>0009015280</t>
        </is>
      </c>
      <c r="B434" t="inlineStr">
        <is>
          <t>0000100019</t>
        </is>
      </c>
      <c r="C434" s="3" t="n">
        <v>45543</v>
      </c>
      <c r="D434" s="3" t="n">
        <v>45573</v>
      </c>
      <c r="E434" s="4" t="n">
        <v>806.26</v>
      </c>
      <c r="F434">
        <f>Summary!$B$3-D434</f>
        <v/>
      </c>
      <c r="G434">
        <f>IF(D434&gt;Summary!$B$3,"Current",IF(F434&lt;=30,"0-30",IF(F434&lt;=60,"31-60",IF(F434&lt;=90,"61-90","90+"))))</f>
        <v/>
      </c>
    </row>
    <row r="435">
      <c r="A435" t="inlineStr">
        <is>
          <t>0009015296</t>
        </is>
      </c>
      <c r="B435" t="inlineStr">
        <is>
          <t>0000100423</t>
        </is>
      </c>
      <c r="C435" s="3" t="n">
        <v>45542</v>
      </c>
      <c r="D435" s="3" t="n">
        <v>45587</v>
      </c>
      <c r="E435" s="4" t="n">
        <v>836.9</v>
      </c>
      <c r="F435">
        <f>Summary!$B$3-D435</f>
        <v/>
      </c>
      <c r="G435">
        <f>IF(D435&gt;Summary!$B$3,"Current",IF(F435&lt;=30,"0-30",IF(F435&lt;=60,"31-60",IF(F435&lt;=90,"61-90","90+"))))</f>
        <v/>
      </c>
    </row>
    <row r="436">
      <c r="A436" t="inlineStr">
        <is>
          <t>0009015302</t>
        </is>
      </c>
      <c r="B436" t="inlineStr">
        <is>
          <t>0000100019</t>
        </is>
      </c>
      <c r="C436" s="3" t="n">
        <v>45538</v>
      </c>
      <c r="D436" s="3" t="n">
        <v>45568</v>
      </c>
      <c r="E436" s="4" t="n">
        <v>300</v>
      </c>
      <c r="F436">
        <f>Summary!$B$3-D436</f>
        <v/>
      </c>
      <c r="G436">
        <f>IF(D436&gt;Summary!$B$3,"Current",IF(F436&lt;=30,"0-30",IF(F436&lt;=60,"31-60",IF(F436&lt;=90,"61-90","90+"))))</f>
        <v/>
      </c>
    </row>
    <row r="437">
      <c r="A437" t="inlineStr">
        <is>
          <t>0009015329</t>
        </is>
      </c>
      <c r="B437" t="inlineStr">
        <is>
          <t>0000100529</t>
        </is>
      </c>
      <c r="C437" s="3" t="n">
        <v>45547</v>
      </c>
      <c r="D437" s="3" t="n">
        <v>45607</v>
      </c>
      <c r="E437" s="4" t="n">
        <v>469.2</v>
      </c>
      <c r="F437">
        <f>Summary!$B$3-D437</f>
        <v/>
      </c>
      <c r="G437">
        <f>IF(D437&gt;Summary!$B$3,"Current",IF(F437&lt;=30,"0-30",IF(F437&lt;=60,"31-60",IF(F437&lt;=90,"61-90","90+"))))</f>
        <v/>
      </c>
    </row>
    <row r="438">
      <c r="A438" t="inlineStr">
        <is>
          <t>0009015382</t>
        </is>
      </c>
      <c r="B438" t="inlineStr">
        <is>
          <t>0000100108</t>
        </is>
      </c>
      <c r="C438" s="3" t="n">
        <v>45547</v>
      </c>
      <c r="D438" s="3" t="n">
        <v>45577</v>
      </c>
      <c r="E438" s="4" t="n">
        <v>390.1</v>
      </c>
      <c r="F438">
        <f>Summary!$B$3-D438</f>
        <v/>
      </c>
      <c r="G438">
        <f>IF(D438&gt;Summary!$B$3,"Current",IF(F438&lt;=30,"0-30",IF(F438&lt;=60,"31-60",IF(F438&lt;=90,"61-90","90+"))))</f>
        <v/>
      </c>
    </row>
    <row r="439">
      <c r="A439" t="inlineStr">
        <is>
          <t>0009015439</t>
        </is>
      </c>
      <c r="B439" t="inlineStr">
        <is>
          <t>0000100018</t>
        </is>
      </c>
      <c r="C439" s="3" t="n">
        <v>45553</v>
      </c>
      <c r="D439" s="3" t="n">
        <v>45583</v>
      </c>
      <c r="E439" s="4" t="n">
        <v>1540.76</v>
      </c>
      <c r="F439">
        <f>Summary!$B$3-D439</f>
        <v/>
      </c>
      <c r="G439">
        <f>IF(D439&gt;Summary!$B$3,"Current",IF(F439&lt;=30,"0-30",IF(F439&lt;=60,"31-60",IF(F439&lt;=90,"61-90","90+"))))</f>
        <v/>
      </c>
    </row>
    <row r="440">
      <c r="A440" t="inlineStr">
        <is>
          <t>0009015456</t>
        </is>
      </c>
      <c r="B440" t="inlineStr">
        <is>
          <t>0000100382</t>
        </is>
      </c>
      <c r="C440" s="3" t="n">
        <v>45543</v>
      </c>
      <c r="D440" s="3" t="n">
        <v>45588</v>
      </c>
      <c r="E440" s="4" t="n">
        <v>728.71</v>
      </c>
      <c r="F440">
        <f>Summary!$B$3-D440</f>
        <v/>
      </c>
      <c r="G440">
        <f>IF(D440&gt;Summary!$B$3,"Current",IF(F440&lt;=30,"0-30",IF(F440&lt;=60,"31-60",IF(F440&lt;=90,"61-90","90+"))))</f>
        <v/>
      </c>
    </row>
    <row r="441">
      <c r="A441" t="inlineStr">
        <is>
          <t>0009015463</t>
        </is>
      </c>
      <c r="B441" t="inlineStr">
        <is>
          <t>0000100111</t>
        </is>
      </c>
      <c r="C441" s="3" t="n">
        <v>45548</v>
      </c>
      <c r="D441" s="3" t="n">
        <v>45593</v>
      </c>
      <c r="E441" s="4" t="n">
        <v>493.5</v>
      </c>
      <c r="F441">
        <f>Summary!$B$3-D441</f>
        <v/>
      </c>
      <c r="G441">
        <f>IF(D441&gt;Summary!$B$3,"Current",IF(F441&lt;=30,"0-30",IF(F441&lt;=60,"31-60",IF(F441&lt;=90,"61-90","90+"))))</f>
        <v/>
      </c>
    </row>
    <row r="442">
      <c r="A442" t="inlineStr">
        <is>
          <t>0009015505</t>
        </is>
      </c>
      <c r="B442" t="inlineStr">
        <is>
          <t>0000100014</t>
        </is>
      </c>
      <c r="C442" s="3" t="n">
        <v>45548</v>
      </c>
      <c r="D442" s="3" t="n">
        <v>45578</v>
      </c>
      <c r="E442" s="4" t="n">
        <v>186.78</v>
      </c>
      <c r="F442">
        <f>Summary!$B$3-D442</f>
        <v/>
      </c>
      <c r="G442">
        <f>IF(D442&gt;Summary!$B$3,"Current",IF(F442&lt;=30,"0-30",IF(F442&lt;=60,"31-60",IF(F442&lt;=90,"61-90","90+"))))</f>
        <v/>
      </c>
    </row>
    <row r="443">
      <c r="A443" t="inlineStr">
        <is>
          <t>0009015539</t>
        </is>
      </c>
      <c r="B443" t="inlineStr">
        <is>
          <t>0000100369</t>
        </is>
      </c>
      <c r="C443" s="3" t="n">
        <v>45554</v>
      </c>
      <c r="D443" s="3" t="n">
        <v>45584</v>
      </c>
      <c r="E443" s="4" t="n">
        <v>1754.17</v>
      </c>
      <c r="F443">
        <f>Summary!$B$3-D443</f>
        <v/>
      </c>
      <c r="G443">
        <f>IF(D443&gt;Summary!$B$3,"Current",IF(F443&lt;=30,"0-30",IF(F443&lt;=60,"31-60",IF(F443&lt;=90,"61-90","90+"))))</f>
        <v/>
      </c>
    </row>
    <row r="444">
      <c r="A444" t="inlineStr">
        <is>
          <t>0009015541</t>
        </is>
      </c>
      <c r="B444" t="inlineStr">
        <is>
          <t>0000100508</t>
        </is>
      </c>
      <c r="C444" s="3" t="n">
        <v>45555</v>
      </c>
      <c r="D444" s="3" t="n">
        <v>45615</v>
      </c>
      <c r="E444" s="4" t="n">
        <v>170.62</v>
      </c>
      <c r="F444">
        <f>Summary!$B$3-D444</f>
        <v/>
      </c>
      <c r="G444">
        <f>IF(D444&gt;Summary!$B$3,"Current",IF(F444&lt;=30,"0-30",IF(F444&lt;=60,"31-60",IF(F444&lt;=90,"61-90","90+"))))</f>
        <v/>
      </c>
    </row>
    <row r="445">
      <c r="A445" t="inlineStr">
        <is>
          <t>0009015666</t>
        </is>
      </c>
      <c r="B445" t="inlineStr">
        <is>
          <t>0000100028</t>
        </is>
      </c>
      <c r="C445" s="3" t="n">
        <v>45554</v>
      </c>
      <c r="D445" s="3" t="n">
        <v>45599</v>
      </c>
      <c r="E445" s="4" t="n">
        <v>510.29</v>
      </c>
      <c r="F445">
        <f>Summary!$B$3-D445</f>
        <v/>
      </c>
      <c r="G445">
        <f>IF(D445&gt;Summary!$B$3,"Current",IF(F445&lt;=30,"0-30",IF(F445&lt;=60,"31-60",IF(F445&lt;=90,"61-90","90+"))))</f>
        <v/>
      </c>
    </row>
    <row r="446">
      <c r="A446" t="inlineStr">
        <is>
          <t>0009015742</t>
        </is>
      </c>
      <c r="B446" t="inlineStr">
        <is>
          <t>0000100131</t>
        </is>
      </c>
      <c r="C446" s="3" t="n">
        <v>45560</v>
      </c>
      <c r="D446" s="3" t="n">
        <v>45590</v>
      </c>
      <c r="E446" s="4" t="n">
        <v>63.58</v>
      </c>
      <c r="F446">
        <f>Summary!$B$3-D446</f>
        <v/>
      </c>
      <c r="G446">
        <f>IF(D446&gt;Summary!$B$3,"Current",IF(F446&lt;=30,"0-30",IF(F446&lt;=60,"31-60",IF(F446&lt;=90,"61-90","90+"))))</f>
        <v/>
      </c>
    </row>
    <row r="447">
      <c r="A447" t="inlineStr">
        <is>
          <t>0009015746</t>
        </is>
      </c>
      <c r="B447" t="inlineStr">
        <is>
          <t>0000100164</t>
        </is>
      </c>
      <c r="C447" s="3" t="n">
        <v>45556</v>
      </c>
      <c r="D447" s="3" t="n">
        <v>45616</v>
      </c>
      <c r="E447" s="4" t="n">
        <v>1136.32</v>
      </c>
      <c r="F447">
        <f>Summary!$B$3-D447</f>
        <v/>
      </c>
      <c r="G447">
        <f>IF(D447&gt;Summary!$B$3,"Current",IF(F447&lt;=30,"0-30",IF(F447&lt;=60,"31-60",IF(F447&lt;=90,"61-90","90+"))))</f>
        <v/>
      </c>
    </row>
    <row r="448">
      <c r="A448" t="inlineStr">
        <is>
          <t>0009015748</t>
        </is>
      </c>
      <c r="B448" t="inlineStr">
        <is>
          <t>0000100400</t>
        </is>
      </c>
      <c r="C448" s="3" t="n">
        <v>45560</v>
      </c>
      <c r="D448" s="3" t="n">
        <v>45590</v>
      </c>
      <c r="E448" s="4" t="n">
        <v>383.63</v>
      </c>
      <c r="F448">
        <f>Summary!$B$3-D448</f>
        <v/>
      </c>
      <c r="G448">
        <f>IF(D448&gt;Summary!$B$3,"Current",IF(F448&lt;=30,"0-30",IF(F448&lt;=60,"31-60",IF(F448&lt;=90,"61-90","90+"))))</f>
        <v/>
      </c>
    </row>
    <row r="449">
      <c r="A449" t="inlineStr">
        <is>
          <t>0009015795</t>
        </is>
      </c>
      <c r="B449" t="inlineStr">
        <is>
          <t>0000100094</t>
        </is>
      </c>
      <c r="C449" s="3" t="n">
        <v>45561</v>
      </c>
      <c r="D449" s="3" t="n">
        <v>45621</v>
      </c>
      <c r="E449" s="4" t="n">
        <v>1562.8</v>
      </c>
      <c r="F449">
        <f>Summary!$B$3-D449</f>
        <v/>
      </c>
      <c r="G449">
        <f>IF(D449&gt;Summary!$B$3,"Current",IF(F449&lt;=30,"0-30",IF(F449&lt;=60,"31-60",IF(F449&lt;=90,"61-90","90+"))))</f>
        <v/>
      </c>
    </row>
    <row r="450">
      <c r="A450" t="inlineStr">
        <is>
          <t>0009015826</t>
        </is>
      </c>
      <c r="B450" t="inlineStr">
        <is>
          <t>0000100447</t>
        </is>
      </c>
      <c r="C450" s="3" t="n">
        <v>45560</v>
      </c>
      <c r="D450" s="3" t="n">
        <v>45605</v>
      </c>
      <c r="E450" s="4" t="n">
        <v>666.76</v>
      </c>
      <c r="F450">
        <f>Summary!$B$3-D450</f>
        <v/>
      </c>
      <c r="G450">
        <f>IF(D450&gt;Summary!$B$3,"Current",IF(F450&lt;=30,"0-30",IF(F450&lt;=60,"31-60",IF(F450&lt;=90,"61-90","90+"))))</f>
        <v/>
      </c>
    </row>
    <row r="451">
      <c r="A451" t="inlineStr">
        <is>
          <t>0009016010</t>
        </is>
      </c>
      <c r="B451" t="inlineStr">
        <is>
          <t>0000100409</t>
        </is>
      </c>
      <c r="C451" s="3" t="n">
        <v>45569</v>
      </c>
      <c r="D451" s="3" t="n">
        <v>45599</v>
      </c>
      <c r="E451" s="4" t="n">
        <v>95.40000000000001</v>
      </c>
      <c r="F451">
        <f>Summary!$B$3-D451</f>
        <v/>
      </c>
      <c r="G451">
        <f>IF(D451&gt;Summary!$B$3,"Current",IF(F451&lt;=30,"0-30",IF(F451&lt;=60,"31-60",IF(F451&lt;=90,"61-90","90+"))))</f>
        <v/>
      </c>
    </row>
    <row r="452">
      <c r="A452" t="inlineStr">
        <is>
          <t>0009016069</t>
        </is>
      </c>
      <c r="B452" t="inlineStr">
        <is>
          <t>0000100306</t>
        </is>
      </c>
      <c r="C452" s="3" t="n">
        <v>45569</v>
      </c>
      <c r="D452" s="3" t="n">
        <v>45599</v>
      </c>
      <c r="E452" s="4" t="n">
        <v>2363.01</v>
      </c>
      <c r="F452">
        <f>Summary!$B$3-D452</f>
        <v/>
      </c>
      <c r="G452">
        <f>IF(D452&gt;Summary!$B$3,"Current",IF(F452&lt;=30,"0-30",IF(F452&lt;=60,"31-60",IF(F452&lt;=90,"61-90","90+"))))</f>
        <v/>
      </c>
    </row>
    <row r="453">
      <c r="A453" t="inlineStr">
        <is>
          <t>0009016070</t>
        </is>
      </c>
      <c r="B453" t="inlineStr">
        <is>
          <t>0000100219</t>
        </is>
      </c>
      <c r="C453" s="3" t="n">
        <v>45568</v>
      </c>
      <c r="D453" s="3" t="n">
        <v>45598</v>
      </c>
      <c r="E453" s="4" t="n">
        <v>475.16</v>
      </c>
      <c r="F453">
        <f>Summary!$B$3-D453</f>
        <v/>
      </c>
      <c r="G453">
        <f>IF(D453&gt;Summary!$B$3,"Current",IF(F453&lt;=30,"0-30",IF(F453&lt;=60,"31-60",IF(F453&lt;=90,"61-90","90+"))))</f>
        <v/>
      </c>
    </row>
    <row r="454">
      <c r="A454" t="inlineStr">
        <is>
          <t>0009016074</t>
        </is>
      </c>
      <c r="B454" t="inlineStr">
        <is>
          <t>0000100550</t>
        </is>
      </c>
      <c r="C454" s="3" t="n">
        <v>45567</v>
      </c>
      <c r="D454" s="3" t="n">
        <v>45597</v>
      </c>
      <c r="E454" s="4" t="n">
        <v>475.92</v>
      </c>
      <c r="F454">
        <f>Summary!$B$3-D454</f>
        <v/>
      </c>
      <c r="G454">
        <f>IF(D454&gt;Summary!$B$3,"Current",IF(F454&lt;=30,"0-30",IF(F454&lt;=60,"31-60",IF(F454&lt;=90,"61-90","90+"))))</f>
        <v/>
      </c>
    </row>
    <row r="455">
      <c r="A455" t="inlineStr">
        <is>
          <t>0009016083</t>
        </is>
      </c>
      <c r="B455" t="inlineStr">
        <is>
          <t>0000100114</t>
        </is>
      </c>
      <c r="C455" s="3" t="n">
        <v>45569</v>
      </c>
      <c r="D455" s="3" t="n">
        <v>45614</v>
      </c>
      <c r="E455" s="4" t="n">
        <v>1185.78</v>
      </c>
      <c r="F455">
        <f>Summary!$B$3-D455</f>
        <v/>
      </c>
      <c r="G455">
        <f>IF(D455&gt;Summary!$B$3,"Current",IF(F455&lt;=30,"0-30",IF(F455&lt;=60,"31-60",IF(F455&lt;=90,"61-90","90+"))))</f>
        <v/>
      </c>
    </row>
    <row r="456">
      <c r="A456" t="inlineStr">
        <is>
          <t>0009016127</t>
        </is>
      </c>
      <c r="B456" t="inlineStr">
        <is>
          <t>0000100114</t>
        </is>
      </c>
      <c r="C456" s="3" t="n">
        <v>45573</v>
      </c>
      <c r="D456" s="3" t="n">
        <v>45618</v>
      </c>
      <c r="E456" s="4" t="n">
        <v>805.35</v>
      </c>
      <c r="F456">
        <f>Summary!$B$3-D456</f>
        <v/>
      </c>
      <c r="G456">
        <f>IF(D456&gt;Summary!$B$3,"Current",IF(F456&lt;=30,"0-30",IF(F456&lt;=60,"31-60",IF(F456&lt;=90,"61-90","90+"))))</f>
        <v/>
      </c>
    </row>
    <row r="457">
      <c r="A457" t="inlineStr">
        <is>
          <t>0009016132</t>
        </is>
      </c>
      <c r="B457" t="inlineStr">
        <is>
          <t>0000100163</t>
        </is>
      </c>
      <c r="C457" s="3" t="n">
        <v>45574</v>
      </c>
      <c r="D457" s="3" t="n">
        <v>45604</v>
      </c>
      <c r="E457" s="4" t="n">
        <v>705.16</v>
      </c>
      <c r="F457">
        <f>Summary!$B$3-D457</f>
        <v/>
      </c>
      <c r="G457">
        <f>IF(D457&gt;Summary!$B$3,"Current",IF(F457&lt;=30,"0-30",IF(F457&lt;=60,"31-60",IF(F457&lt;=90,"61-90","90+"))))</f>
        <v/>
      </c>
    </row>
    <row r="458">
      <c r="A458" t="inlineStr">
        <is>
          <t>0009016152</t>
        </is>
      </c>
      <c r="B458" t="inlineStr">
        <is>
          <t>0000100268</t>
        </is>
      </c>
      <c r="C458" s="3" t="n">
        <v>45575</v>
      </c>
      <c r="D458" s="3" t="n">
        <v>45605</v>
      </c>
      <c r="E458" s="4" t="n">
        <v>1468.1</v>
      </c>
      <c r="F458">
        <f>Summary!$B$3-D458</f>
        <v/>
      </c>
      <c r="G458">
        <f>IF(D458&gt;Summary!$B$3,"Current",IF(F458&lt;=30,"0-30",IF(F458&lt;=60,"31-60",IF(F458&lt;=90,"61-90","90+"))))</f>
        <v/>
      </c>
    </row>
    <row r="459">
      <c r="A459" t="inlineStr">
        <is>
          <t>0009016158</t>
        </is>
      </c>
      <c r="B459" t="inlineStr">
        <is>
          <t>0000100516</t>
        </is>
      </c>
      <c r="C459" s="3" t="n">
        <v>45573</v>
      </c>
      <c r="D459" s="3" t="n">
        <v>45603</v>
      </c>
      <c r="E459" s="4" t="n">
        <v>562.76</v>
      </c>
      <c r="F459">
        <f>Summary!$B$3-D459</f>
        <v/>
      </c>
      <c r="G459">
        <f>IF(D459&gt;Summary!$B$3,"Current",IF(F459&lt;=30,"0-30",IF(F459&lt;=60,"31-60",IF(F459&lt;=90,"61-90","90+"))))</f>
        <v/>
      </c>
    </row>
    <row r="460">
      <c r="A460" t="inlineStr">
        <is>
          <t>0009016161</t>
        </is>
      </c>
      <c r="B460" t="inlineStr">
        <is>
          <t>0000100410</t>
        </is>
      </c>
      <c r="C460" s="3" t="n">
        <v>45579</v>
      </c>
      <c r="D460" s="3" t="n">
        <v>45624</v>
      </c>
      <c r="E460" s="4" t="n">
        <v>1713.18</v>
      </c>
      <c r="F460">
        <f>Summary!$B$3-D460</f>
        <v/>
      </c>
      <c r="G460">
        <f>IF(D460&gt;Summary!$B$3,"Current",IF(F460&lt;=30,"0-30",IF(F460&lt;=60,"31-60",IF(F460&lt;=90,"61-90","90+"))))</f>
        <v/>
      </c>
    </row>
    <row r="461">
      <c r="A461" t="inlineStr">
        <is>
          <t>0009016173</t>
        </is>
      </c>
      <c r="B461" t="inlineStr">
        <is>
          <t>0000100346</t>
        </is>
      </c>
      <c r="C461" s="3" t="n">
        <v>45575</v>
      </c>
      <c r="D461" s="3" t="n">
        <v>45620</v>
      </c>
      <c r="E461" s="4" t="n">
        <v>3376.13</v>
      </c>
      <c r="F461">
        <f>Summary!$B$3-D461</f>
        <v/>
      </c>
      <c r="G461">
        <f>IF(D461&gt;Summary!$B$3,"Current",IF(F461&lt;=30,"0-30",IF(F461&lt;=60,"31-60",IF(F461&lt;=90,"61-90","90+"))))</f>
        <v/>
      </c>
    </row>
    <row r="462">
      <c r="A462" t="inlineStr">
        <is>
          <t>0009016304</t>
        </is>
      </c>
      <c r="B462" t="inlineStr">
        <is>
          <t>0000100465</t>
        </is>
      </c>
      <c r="C462" s="3" t="n">
        <v>45579</v>
      </c>
      <c r="D462" s="3" t="n">
        <v>45639</v>
      </c>
      <c r="E462" s="4" t="n">
        <v>119.4</v>
      </c>
      <c r="F462">
        <f>Summary!$B$3-D462</f>
        <v/>
      </c>
      <c r="G462">
        <f>IF(D462&gt;Summary!$B$3,"Current",IF(F462&lt;=30,"0-30",IF(F462&lt;=60,"31-60",IF(F462&lt;=90,"61-90","90+"))))</f>
        <v/>
      </c>
    </row>
    <row r="463">
      <c r="A463" t="inlineStr">
        <is>
          <t>0009016398</t>
        </is>
      </c>
      <c r="B463" t="inlineStr">
        <is>
          <t>0000100028</t>
        </is>
      </c>
      <c r="C463" s="3" t="n">
        <v>45581</v>
      </c>
      <c r="D463" s="3" t="n">
        <v>45626</v>
      </c>
      <c r="E463" s="4" t="n">
        <v>192.66</v>
      </c>
      <c r="F463">
        <f>Summary!$B$3-D463</f>
        <v/>
      </c>
      <c r="G463">
        <f>IF(D463&gt;Summary!$B$3,"Current",IF(F463&lt;=30,"0-30",IF(F463&lt;=60,"31-60",IF(F463&lt;=90,"61-90","90+"))))</f>
        <v/>
      </c>
    </row>
    <row r="464">
      <c r="A464" t="inlineStr">
        <is>
          <t>0009016404</t>
        </is>
      </c>
      <c r="B464" t="inlineStr">
        <is>
          <t>0000100158</t>
        </is>
      </c>
      <c r="C464" s="3" t="n">
        <v>45578</v>
      </c>
      <c r="D464" s="3" t="n">
        <v>45608</v>
      </c>
      <c r="E464" s="4" t="n">
        <v>1248.33</v>
      </c>
      <c r="F464">
        <f>Summary!$B$3-D464</f>
        <v/>
      </c>
      <c r="G464">
        <f>IF(D464&gt;Summary!$B$3,"Current",IF(F464&lt;=30,"0-30",IF(F464&lt;=60,"31-60",IF(F464&lt;=90,"61-90","90+"))))</f>
        <v/>
      </c>
    </row>
    <row r="465">
      <c r="A465" t="inlineStr">
        <is>
          <t>0009016434</t>
        </is>
      </c>
      <c r="B465" t="inlineStr">
        <is>
          <t>0000100315</t>
        </is>
      </c>
      <c r="C465" s="3" t="n">
        <v>45578</v>
      </c>
      <c r="D465" s="3" t="n">
        <v>45638</v>
      </c>
      <c r="E465" s="4" t="n">
        <v>1182.93</v>
      </c>
      <c r="F465">
        <f>Summary!$B$3-D465</f>
        <v/>
      </c>
      <c r="G465">
        <f>IF(D465&gt;Summary!$B$3,"Current",IF(F465&lt;=30,"0-30",IF(F465&lt;=60,"31-60",IF(F465&lt;=90,"61-90","90+"))))</f>
        <v/>
      </c>
    </row>
    <row r="466">
      <c r="A466" t="inlineStr">
        <is>
          <t>0009016442</t>
        </is>
      </c>
      <c r="B466" t="inlineStr">
        <is>
          <t>0000100525</t>
        </is>
      </c>
      <c r="C466" s="3" t="n">
        <v>45582</v>
      </c>
      <c r="D466" s="3" t="n">
        <v>45627</v>
      </c>
      <c r="E466" s="4" t="n">
        <v>4862.94</v>
      </c>
      <c r="F466">
        <f>Summary!$B$3-D466</f>
        <v/>
      </c>
      <c r="G466">
        <f>IF(D466&gt;Summary!$B$3,"Current",IF(F466&lt;=30,"0-30",IF(F466&lt;=60,"31-60",IF(F466&lt;=90,"61-90","90+"))))</f>
        <v/>
      </c>
    </row>
    <row r="467">
      <c r="A467" t="inlineStr">
        <is>
          <t>0009016564</t>
        </is>
      </c>
      <c r="B467" t="inlineStr">
        <is>
          <t>0000100587</t>
        </is>
      </c>
      <c r="C467" s="3" t="n">
        <v>45593</v>
      </c>
      <c r="D467" s="3" t="n">
        <v>45653</v>
      </c>
      <c r="E467" s="4" t="n">
        <v>924.12</v>
      </c>
      <c r="F467">
        <f>Summary!$B$3-D467</f>
        <v/>
      </c>
      <c r="G467">
        <f>IF(D467&gt;Summary!$B$3,"Current",IF(F467&lt;=30,"0-30",IF(F467&lt;=60,"31-60",IF(F467&lt;=90,"61-90","90+"))))</f>
        <v/>
      </c>
    </row>
    <row r="468">
      <c r="A468" t="inlineStr">
        <is>
          <t>0009016624</t>
        </is>
      </c>
      <c r="B468" t="inlineStr">
        <is>
          <t>0000100360</t>
        </is>
      </c>
      <c r="C468" s="3" t="n">
        <v>45589</v>
      </c>
      <c r="D468" s="3" t="n">
        <v>45634</v>
      </c>
      <c r="E468" s="4" t="n">
        <v>556.36</v>
      </c>
      <c r="F468">
        <f>Summary!$B$3-D468</f>
        <v/>
      </c>
      <c r="G468">
        <f>IF(D468&gt;Summary!$B$3,"Current",IF(F468&lt;=30,"0-30",IF(F468&lt;=60,"31-60",IF(F468&lt;=90,"61-90","90+"))))</f>
        <v/>
      </c>
    </row>
    <row r="469">
      <c r="A469" t="inlineStr">
        <is>
          <t>0009016656</t>
        </is>
      </c>
      <c r="B469" t="inlineStr">
        <is>
          <t>0000100013</t>
        </is>
      </c>
      <c r="C469" s="3" t="n">
        <v>45586</v>
      </c>
      <c r="D469" s="3" t="n">
        <v>45646</v>
      </c>
      <c r="E469" s="4" t="n">
        <v>779.6</v>
      </c>
      <c r="F469">
        <f>Summary!$B$3-D469</f>
        <v/>
      </c>
      <c r="G469">
        <f>IF(D469&gt;Summary!$B$3,"Current",IF(F469&lt;=30,"0-30",IF(F469&lt;=60,"31-60",IF(F469&lt;=90,"61-90","90+"))))</f>
        <v/>
      </c>
    </row>
    <row r="470">
      <c r="A470" t="inlineStr">
        <is>
          <t>0009016683</t>
        </is>
      </c>
      <c r="B470" t="inlineStr">
        <is>
          <t>0000100167</t>
        </is>
      </c>
      <c r="C470" s="3" t="n">
        <v>45591</v>
      </c>
      <c r="D470" s="3" t="n">
        <v>45621</v>
      </c>
      <c r="E470" s="4" t="n">
        <v>342.83</v>
      </c>
      <c r="F470">
        <f>Summary!$B$3-D470</f>
        <v/>
      </c>
      <c r="G470">
        <f>IF(D470&gt;Summary!$B$3,"Current",IF(F470&lt;=30,"0-30",IF(F470&lt;=60,"31-60",IF(F470&lt;=90,"61-90","90+"))))</f>
        <v/>
      </c>
    </row>
    <row r="471">
      <c r="A471" t="inlineStr">
        <is>
          <t>0009016689</t>
        </is>
      </c>
      <c r="B471" t="inlineStr">
        <is>
          <t>0000100377</t>
        </is>
      </c>
      <c r="C471" s="3" t="n">
        <v>45591</v>
      </c>
      <c r="D471" s="3" t="n">
        <v>45621</v>
      </c>
      <c r="E471" s="4" t="n">
        <v>1705.59</v>
      </c>
      <c r="F471">
        <f>Summary!$B$3-D471</f>
        <v/>
      </c>
      <c r="G471">
        <f>IF(D471&gt;Summary!$B$3,"Current",IF(F471&lt;=30,"0-30",IF(F471&lt;=60,"31-60",IF(F471&lt;=90,"61-90","90+"))))</f>
        <v/>
      </c>
    </row>
    <row r="472">
      <c r="A472" t="inlineStr">
        <is>
          <t>0009016714</t>
        </is>
      </c>
      <c r="B472" t="inlineStr">
        <is>
          <t>0000100337</t>
        </is>
      </c>
      <c r="C472" s="3" t="n">
        <v>45592</v>
      </c>
      <c r="D472" s="3" t="n">
        <v>45622</v>
      </c>
      <c r="E472" s="4" t="n">
        <v>31.58</v>
      </c>
      <c r="F472">
        <f>Summary!$B$3-D472</f>
        <v/>
      </c>
      <c r="G472">
        <f>IF(D472&gt;Summary!$B$3,"Current",IF(F472&lt;=30,"0-30",IF(F472&lt;=60,"31-60",IF(F472&lt;=90,"61-90","90+"))))</f>
        <v/>
      </c>
    </row>
    <row r="473">
      <c r="A473" t="inlineStr">
        <is>
          <t>0009016716</t>
        </is>
      </c>
      <c r="B473" t="inlineStr">
        <is>
          <t>0000100018</t>
        </is>
      </c>
      <c r="C473" s="3" t="n">
        <v>45588</v>
      </c>
      <c r="D473" s="3" t="n">
        <v>45618</v>
      </c>
      <c r="E473" s="4" t="n">
        <v>612.4400000000001</v>
      </c>
      <c r="F473">
        <f>Summary!$B$3-D473</f>
        <v/>
      </c>
      <c r="G473">
        <f>IF(D473&gt;Summary!$B$3,"Current",IF(F473&lt;=30,"0-30",IF(F473&lt;=60,"31-60",IF(F473&lt;=90,"61-90","90+"))))</f>
        <v/>
      </c>
    </row>
    <row r="474">
      <c r="A474" t="inlineStr">
        <is>
          <t>0009016741</t>
        </is>
      </c>
      <c r="B474" t="inlineStr">
        <is>
          <t>0000100254</t>
        </is>
      </c>
      <c r="C474" s="3" t="n">
        <v>45594</v>
      </c>
      <c r="D474" s="3" t="n">
        <v>45624</v>
      </c>
      <c r="E474" s="4" t="n">
        <v>694.74</v>
      </c>
      <c r="F474">
        <f>Summary!$B$3-D474</f>
        <v/>
      </c>
      <c r="G474">
        <f>IF(D474&gt;Summary!$B$3,"Current",IF(F474&lt;=30,"0-30",IF(F474&lt;=60,"31-60",IF(F474&lt;=90,"61-90","90+"))))</f>
        <v/>
      </c>
    </row>
    <row r="475">
      <c r="A475" t="inlineStr">
        <is>
          <t>0009016800</t>
        </is>
      </c>
      <c r="B475" t="inlineStr">
        <is>
          <t>0000100291</t>
        </is>
      </c>
      <c r="C475" s="3" t="n">
        <v>45596</v>
      </c>
      <c r="D475" s="3" t="n">
        <v>45656</v>
      </c>
      <c r="E475" s="4" t="n">
        <v>5090.36</v>
      </c>
      <c r="F475">
        <f>Summary!$B$3-D475</f>
        <v/>
      </c>
      <c r="G475">
        <f>IF(D475&gt;Summary!$B$3,"Current",IF(F475&lt;=30,"0-30",IF(F475&lt;=60,"31-60",IF(F475&lt;=90,"61-90","90+"))))</f>
        <v/>
      </c>
    </row>
    <row r="476">
      <c r="A476" t="inlineStr">
        <is>
          <t>0009016812</t>
        </is>
      </c>
      <c r="B476" t="inlineStr">
        <is>
          <t>0000100103</t>
        </is>
      </c>
      <c r="C476" s="3" t="n">
        <v>45595</v>
      </c>
      <c r="D476" s="3" t="n">
        <v>45655</v>
      </c>
      <c r="E476" s="4" t="n">
        <v>871.59</v>
      </c>
      <c r="F476">
        <f>Summary!$B$3-D476</f>
        <v/>
      </c>
      <c r="G476">
        <f>IF(D476&gt;Summary!$B$3,"Current",IF(F476&lt;=30,"0-30",IF(F476&lt;=60,"31-60",IF(F476&lt;=90,"61-90","90+"))))</f>
        <v/>
      </c>
    </row>
    <row r="477">
      <c r="A477" t="inlineStr">
        <is>
          <t>0009016959</t>
        </is>
      </c>
      <c r="B477" t="inlineStr">
        <is>
          <t>0000100593</t>
        </is>
      </c>
      <c r="C477" s="3" t="n">
        <v>45594</v>
      </c>
      <c r="D477" s="3" t="n">
        <v>45654</v>
      </c>
      <c r="E477" s="4" t="n">
        <v>192.47</v>
      </c>
      <c r="F477">
        <f>Summary!$B$3-D477</f>
        <v/>
      </c>
      <c r="G477">
        <f>IF(D477&gt;Summary!$B$3,"Current",IF(F477&lt;=30,"0-30",IF(F477&lt;=60,"31-60",IF(F477&lt;=90,"61-90","90+"))))</f>
        <v/>
      </c>
    </row>
    <row r="478">
      <c r="A478" t="inlineStr">
        <is>
          <t>0009016984</t>
        </is>
      </c>
      <c r="B478" t="inlineStr">
        <is>
          <t>0000100125</t>
        </is>
      </c>
      <c r="C478" s="3" t="n">
        <v>45602</v>
      </c>
      <c r="D478" s="3" t="n">
        <v>45632</v>
      </c>
      <c r="E478" s="4" t="n">
        <v>1656</v>
      </c>
      <c r="F478">
        <f>Summary!$B$3-D478</f>
        <v/>
      </c>
      <c r="G478">
        <f>IF(D478&gt;Summary!$B$3,"Current",IF(F478&lt;=30,"0-30",IF(F478&lt;=60,"31-60",IF(F478&lt;=90,"61-90","90+"))))</f>
        <v/>
      </c>
    </row>
    <row r="479">
      <c r="A479" t="inlineStr">
        <is>
          <t>0009016993</t>
        </is>
      </c>
      <c r="B479" t="inlineStr">
        <is>
          <t>0000100189</t>
        </is>
      </c>
      <c r="C479" s="3" t="n">
        <v>45599</v>
      </c>
      <c r="D479" s="3" t="n">
        <v>45644</v>
      </c>
      <c r="E479" s="4" t="n">
        <v>309.39</v>
      </c>
      <c r="F479">
        <f>Summary!$B$3-D479</f>
        <v/>
      </c>
      <c r="G479">
        <f>IF(D479&gt;Summary!$B$3,"Current",IF(F479&lt;=30,"0-30",IF(F479&lt;=60,"31-60",IF(F479&lt;=90,"61-90","90+"))))</f>
        <v/>
      </c>
    </row>
    <row r="480">
      <c r="A480" t="inlineStr">
        <is>
          <t>0009017019</t>
        </is>
      </c>
      <c r="B480" t="inlineStr">
        <is>
          <t>0000100325</t>
        </is>
      </c>
      <c r="C480" s="3" t="n">
        <v>45601</v>
      </c>
      <c r="D480" s="3" t="n">
        <v>45631</v>
      </c>
      <c r="E480" s="4" t="n">
        <v>1065.67</v>
      </c>
      <c r="F480">
        <f>Summary!$B$3-D480</f>
        <v/>
      </c>
      <c r="G480">
        <f>IF(D480&gt;Summary!$B$3,"Current",IF(F480&lt;=30,"0-30",IF(F480&lt;=60,"31-60",IF(F480&lt;=90,"61-90","90+"))))</f>
        <v/>
      </c>
    </row>
    <row r="481">
      <c r="A481" t="inlineStr">
        <is>
          <t>0009017094</t>
        </is>
      </c>
      <c r="B481" t="inlineStr">
        <is>
          <t>0000100258</t>
        </is>
      </c>
      <c r="C481" s="3" t="n">
        <v>45599</v>
      </c>
      <c r="D481" s="3" t="n">
        <v>45629</v>
      </c>
      <c r="E481" s="4" t="n">
        <v>670.84</v>
      </c>
      <c r="F481">
        <f>Summary!$B$3-D481</f>
        <v/>
      </c>
      <c r="G481">
        <f>IF(D481&gt;Summary!$B$3,"Current",IF(F481&lt;=30,"0-30",IF(F481&lt;=60,"31-60",IF(F481&lt;=90,"61-90","90+"))))</f>
        <v/>
      </c>
    </row>
    <row r="482">
      <c r="A482" t="inlineStr">
        <is>
          <t>0009017096</t>
        </is>
      </c>
      <c r="B482" t="inlineStr">
        <is>
          <t>0000100346</t>
        </is>
      </c>
      <c r="C482" s="3" t="n">
        <v>45608</v>
      </c>
      <c r="D482" s="3" t="n">
        <v>45653</v>
      </c>
      <c r="E482" s="4" t="n">
        <v>1008.37</v>
      </c>
      <c r="F482">
        <f>Summary!$B$3-D482</f>
        <v/>
      </c>
      <c r="G482">
        <f>IF(D482&gt;Summary!$B$3,"Current",IF(F482&lt;=30,"0-30",IF(F482&lt;=60,"31-60",IF(F482&lt;=90,"61-90","90+"))))</f>
        <v/>
      </c>
    </row>
    <row r="483">
      <c r="A483" t="inlineStr">
        <is>
          <t>0009017099</t>
        </is>
      </c>
      <c r="B483" t="inlineStr">
        <is>
          <t>0000100364</t>
        </is>
      </c>
      <c r="C483" s="3" t="n">
        <v>45607</v>
      </c>
      <c r="D483" s="3" t="n">
        <v>45667</v>
      </c>
      <c r="E483" s="4" t="n">
        <v>1294.04</v>
      </c>
      <c r="F483">
        <f>Summary!$B$3-D483</f>
        <v/>
      </c>
      <c r="G483">
        <f>IF(D483&gt;Summary!$B$3,"Current",IF(F483&lt;=30,"0-30",IF(F483&lt;=60,"31-60",IF(F483&lt;=90,"61-90","90+"))))</f>
        <v/>
      </c>
    </row>
    <row r="484">
      <c r="A484" t="inlineStr">
        <is>
          <t>0009017101</t>
        </is>
      </c>
      <c r="B484" t="inlineStr">
        <is>
          <t>0000100141</t>
        </is>
      </c>
      <c r="C484" s="3" t="n">
        <v>45604</v>
      </c>
      <c r="D484" s="3" t="n">
        <v>45634</v>
      </c>
      <c r="E484" s="4" t="n">
        <v>720.42</v>
      </c>
      <c r="F484">
        <f>Summary!$B$3-D484</f>
        <v/>
      </c>
      <c r="G484">
        <f>IF(D484&gt;Summary!$B$3,"Current",IF(F484&lt;=30,"0-30",IF(F484&lt;=60,"31-60",IF(F484&lt;=90,"61-90","90+"))))</f>
        <v/>
      </c>
    </row>
    <row r="485">
      <c r="A485" t="inlineStr">
        <is>
          <t>0009017120</t>
        </is>
      </c>
      <c r="B485" t="inlineStr">
        <is>
          <t>0000100588</t>
        </is>
      </c>
      <c r="C485" s="3" t="n">
        <v>45606</v>
      </c>
      <c r="D485" s="3" t="n">
        <v>45636</v>
      </c>
      <c r="E485" s="4" t="n">
        <v>438.44</v>
      </c>
      <c r="F485">
        <f>Summary!$B$3-D485</f>
        <v/>
      </c>
      <c r="G485">
        <f>IF(D485&gt;Summary!$B$3,"Current",IF(F485&lt;=30,"0-30",IF(F485&lt;=60,"31-60",IF(F485&lt;=90,"61-90","90+"))))</f>
        <v/>
      </c>
    </row>
    <row r="486">
      <c r="A486" t="inlineStr">
        <is>
          <t>0009017182</t>
        </is>
      </c>
      <c r="B486" t="inlineStr">
        <is>
          <t>0000100229</t>
        </is>
      </c>
      <c r="C486" s="3" t="n">
        <v>45604</v>
      </c>
      <c r="D486" s="3" t="n">
        <v>45634</v>
      </c>
      <c r="E486" s="4" t="n">
        <v>1934.04</v>
      </c>
      <c r="F486">
        <f>Summary!$B$3-D486</f>
        <v/>
      </c>
      <c r="G486">
        <f>IF(D486&gt;Summary!$B$3,"Current",IF(F486&lt;=30,"0-30",IF(F486&lt;=60,"31-60",IF(F486&lt;=90,"61-90","90+"))))</f>
        <v/>
      </c>
    </row>
    <row r="487">
      <c r="A487" t="inlineStr">
        <is>
          <t>0009017196</t>
        </is>
      </c>
      <c r="B487" t="inlineStr">
        <is>
          <t>0000100502</t>
        </is>
      </c>
      <c r="C487" s="3" t="n">
        <v>45604</v>
      </c>
      <c r="D487" s="3" t="n">
        <v>45649</v>
      </c>
      <c r="E487" s="4" t="n">
        <v>618.64</v>
      </c>
      <c r="F487">
        <f>Summary!$B$3-D487</f>
        <v/>
      </c>
      <c r="G487">
        <f>IF(D487&gt;Summary!$B$3,"Current",IF(F487&lt;=30,"0-30",IF(F487&lt;=60,"31-60",IF(F487&lt;=90,"61-90","90+"))))</f>
        <v/>
      </c>
    </row>
    <row r="488">
      <c r="A488" t="inlineStr">
        <is>
          <t>0009017234</t>
        </is>
      </c>
      <c r="B488" t="inlineStr">
        <is>
          <t>0000100312</t>
        </is>
      </c>
      <c r="C488" s="3" t="n">
        <v>45610</v>
      </c>
      <c r="D488" s="3" t="n">
        <v>45670</v>
      </c>
      <c r="E488" s="4" t="n">
        <v>526.48</v>
      </c>
      <c r="F488">
        <f>Summary!$B$3-D488</f>
        <v/>
      </c>
      <c r="G488">
        <f>IF(D488&gt;Summary!$B$3,"Current",IF(F488&lt;=30,"0-30",IF(F488&lt;=60,"31-60",IF(F488&lt;=90,"61-90","90+"))))</f>
        <v/>
      </c>
    </row>
    <row r="489">
      <c r="A489" t="inlineStr">
        <is>
          <t>0009017272</t>
        </is>
      </c>
      <c r="B489" t="inlineStr">
        <is>
          <t>0000100447</t>
        </is>
      </c>
      <c r="C489" s="3" t="n">
        <v>45614</v>
      </c>
      <c r="D489" s="3" t="n">
        <v>45659</v>
      </c>
      <c r="E489" s="4" t="n">
        <v>1364.61</v>
      </c>
      <c r="F489">
        <f>Summary!$B$3-D489</f>
        <v/>
      </c>
      <c r="G489">
        <f>IF(D489&gt;Summary!$B$3,"Current",IF(F489&lt;=30,"0-30",IF(F489&lt;=60,"31-60",IF(F489&lt;=90,"61-90","90+"))))</f>
        <v/>
      </c>
    </row>
    <row r="490">
      <c r="A490" t="inlineStr">
        <is>
          <t>0009017302</t>
        </is>
      </c>
      <c r="B490" t="inlineStr">
        <is>
          <t>0000100006</t>
        </is>
      </c>
      <c r="C490" s="3" t="n">
        <v>45612</v>
      </c>
      <c r="D490" s="3" t="n">
        <v>45672</v>
      </c>
      <c r="E490" s="4" t="n">
        <v>658.41</v>
      </c>
      <c r="F490">
        <f>Summary!$B$3-D490</f>
        <v/>
      </c>
      <c r="G490">
        <f>IF(D490&gt;Summary!$B$3,"Current",IF(F490&lt;=30,"0-30",IF(F490&lt;=60,"31-60",IF(F490&lt;=90,"61-90","90+"))))</f>
        <v/>
      </c>
    </row>
    <row r="491">
      <c r="A491" t="inlineStr">
        <is>
          <t>0009017305</t>
        </is>
      </c>
      <c r="B491" t="inlineStr">
        <is>
          <t>0000100049</t>
        </is>
      </c>
      <c r="C491" s="3" t="n">
        <v>45607</v>
      </c>
      <c r="D491" s="3" t="n">
        <v>45637</v>
      </c>
      <c r="E491" s="4" t="n">
        <v>229.06</v>
      </c>
      <c r="F491">
        <f>Summary!$B$3-D491</f>
        <v/>
      </c>
      <c r="G491">
        <f>IF(D491&gt;Summary!$B$3,"Current",IF(F491&lt;=30,"0-30",IF(F491&lt;=60,"31-60",IF(F491&lt;=90,"61-90","90+"))))</f>
        <v/>
      </c>
    </row>
    <row r="492">
      <c r="A492" t="inlineStr">
        <is>
          <t>0009017316</t>
        </is>
      </c>
      <c r="B492" t="inlineStr">
        <is>
          <t>0000100203</t>
        </is>
      </c>
      <c r="C492" s="3" t="n">
        <v>45607</v>
      </c>
      <c r="D492" s="3" t="n">
        <v>45652</v>
      </c>
      <c r="E492" s="4" t="n">
        <v>1016.64</v>
      </c>
      <c r="F492">
        <f>Summary!$B$3-D492</f>
        <v/>
      </c>
      <c r="G492">
        <f>IF(D492&gt;Summary!$B$3,"Current",IF(F492&lt;=30,"0-30",IF(F492&lt;=60,"31-60",IF(F492&lt;=90,"61-90","90+"))))</f>
        <v/>
      </c>
    </row>
    <row r="493">
      <c r="A493" t="inlineStr">
        <is>
          <t>0009017329</t>
        </is>
      </c>
      <c r="B493" t="inlineStr">
        <is>
          <t>0000100338</t>
        </is>
      </c>
      <c r="C493" s="3" t="n">
        <v>45613</v>
      </c>
      <c r="D493" s="3" t="n">
        <v>45673</v>
      </c>
      <c r="E493" s="4" t="n">
        <v>677.53</v>
      </c>
      <c r="F493">
        <f>Summary!$B$3-D493</f>
        <v/>
      </c>
      <c r="G493">
        <f>IF(D493&gt;Summary!$B$3,"Current",IF(F493&lt;=30,"0-30",IF(F493&lt;=60,"31-60",IF(F493&lt;=90,"61-90","90+"))))</f>
        <v/>
      </c>
    </row>
    <row r="494">
      <c r="A494" t="inlineStr">
        <is>
          <t>0009017352</t>
        </is>
      </c>
      <c r="B494" t="inlineStr">
        <is>
          <t>0000100122</t>
        </is>
      </c>
      <c r="C494" s="3" t="n">
        <v>45608</v>
      </c>
      <c r="D494" s="3" t="n">
        <v>45638</v>
      </c>
      <c r="E494" s="4" t="n">
        <v>1159.49</v>
      </c>
      <c r="F494">
        <f>Summary!$B$3-D494</f>
        <v/>
      </c>
      <c r="G494">
        <f>IF(D494&gt;Summary!$B$3,"Current",IF(F494&lt;=30,"0-30",IF(F494&lt;=60,"31-60",IF(F494&lt;=90,"61-90","90+"))))</f>
        <v/>
      </c>
    </row>
    <row r="495">
      <c r="A495" t="inlineStr">
        <is>
          <t>0009017370</t>
        </is>
      </c>
      <c r="B495" t="inlineStr">
        <is>
          <t>0000100196</t>
        </is>
      </c>
      <c r="C495" s="3" t="n">
        <v>45614</v>
      </c>
      <c r="D495" s="3" t="n">
        <v>45644</v>
      </c>
      <c r="E495" s="4" t="n">
        <v>813.23</v>
      </c>
      <c r="F495">
        <f>Summary!$B$3-D495</f>
        <v/>
      </c>
      <c r="G495">
        <f>IF(D495&gt;Summary!$B$3,"Current",IF(F495&lt;=30,"0-30",IF(F495&lt;=60,"31-60",IF(F495&lt;=90,"61-90","90+"))))</f>
        <v/>
      </c>
    </row>
    <row r="496">
      <c r="A496" t="inlineStr">
        <is>
          <t>0009017395</t>
        </is>
      </c>
      <c r="B496" t="inlineStr">
        <is>
          <t>0000100593</t>
        </is>
      </c>
      <c r="C496" s="3" t="n">
        <v>45613</v>
      </c>
      <c r="D496" s="3" t="n">
        <v>45673</v>
      </c>
      <c r="E496" s="4" t="n">
        <v>541.76</v>
      </c>
      <c r="F496">
        <f>Summary!$B$3-D496</f>
        <v/>
      </c>
      <c r="G496">
        <f>IF(D496&gt;Summary!$B$3,"Current",IF(F496&lt;=30,"0-30",IF(F496&lt;=60,"31-60",IF(F496&lt;=90,"61-90","90+"))))</f>
        <v/>
      </c>
    </row>
    <row r="497">
      <c r="A497" t="inlineStr">
        <is>
          <t>0009017424</t>
        </is>
      </c>
      <c r="B497" t="inlineStr">
        <is>
          <t>0000100101</t>
        </is>
      </c>
      <c r="C497" s="3" t="n">
        <v>45615</v>
      </c>
      <c r="D497" s="3" t="n">
        <v>45645</v>
      </c>
      <c r="E497" s="4" t="n">
        <v>535.42</v>
      </c>
      <c r="F497">
        <f>Summary!$B$3-D497</f>
        <v/>
      </c>
      <c r="G497">
        <f>IF(D497&gt;Summary!$B$3,"Current",IF(F497&lt;=30,"0-30",IF(F497&lt;=60,"31-60",IF(F497&lt;=90,"61-90","90+"))))</f>
        <v/>
      </c>
    </row>
    <row r="498">
      <c r="A498" t="inlineStr">
        <is>
          <t>0009017439</t>
        </is>
      </c>
      <c r="B498" t="inlineStr">
        <is>
          <t>0000100004</t>
        </is>
      </c>
      <c r="C498" s="3" t="n">
        <v>45617</v>
      </c>
      <c r="D498" s="3" t="n">
        <v>45677</v>
      </c>
      <c r="E498" s="4" t="n">
        <v>308.22</v>
      </c>
      <c r="F498">
        <f>Summary!$B$3-D498</f>
        <v/>
      </c>
      <c r="G498">
        <f>IF(D498&gt;Summary!$B$3,"Current",IF(F498&lt;=30,"0-30",IF(F498&lt;=60,"31-60",IF(F498&lt;=90,"61-90","90+"))))</f>
        <v/>
      </c>
    </row>
    <row r="499">
      <c r="A499" t="inlineStr">
        <is>
          <t>0009017480</t>
        </is>
      </c>
      <c r="B499" t="inlineStr">
        <is>
          <t>0000100225</t>
        </is>
      </c>
      <c r="C499" s="3" t="n">
        <v>45619</v>
      </c>
      <c r="D499" s="3" t="n">
        <v>45649</v>
      </c>
      <c r="E499" s="4" t="n">
        <v>3296.97</v>
      </c>
      <c r="F499">
        <f>Summary!$B$3-D499</f>
        <v/>
      </c>
      <c r="G499">
        <f>IF(D499&gt;Summary!$B$3,"Current",IF(F499&lt;=30,"0-30",IF(F499&lt;=60,"31-60",IF(F499&lt;=90,"61-90","90+"))))</f>
        <v/>
      </c>
    </row>
    <row r="500">
      <c r="A500" t="inlineStr">
        <is>
          <t>0009017490</t>
        </is>
      </c>
      <c r="B500" t="inlineStr">
        <is>
          <t>0000100155</t>
        </is>
      </c>
      <c r="C500" s="3" t="n">
        <v>45616</v>
      </c>
      <c r="D500" s="3" t="n">
        <v>45646</v>
      </c>
      <c r="E500" s="4" t="n">
        <v>479.52</v>
      </c>
      <c r="F500">
        <f>Summary!$B$3-D500</f>
        <v/>
      </c>
      <c r="G500">
        <f>IF(D500&gt;Summary!$B$3,"Current",IF(F500&lt;=30,"0-30",IF(F500&lt;=60,"31-60",IF(F500&lt;=90,"61-90","90+"))))</f>
        <v/>
      </c>
    </row>
    <row r="501">
      <c r="A501" t="inlineStr">
        <is>
          <t>0009017518</t>
        </is>
      </c>
      <c r="B501" t="inlineStr">
        <is>
          <t>0000100115</t>
        </is>
      </c>
      <c r="C501" s="3" t="n">
        <v>45617</v>
      </c>
      <c r="D501" s="3" t="n">
        <v>45647</v>
      </c>
      <c r="E501" s="4" t="n">
        <v>9116.620000000001</v>
      </c>
      <c r="F501">
        <f>Summary!$B$3-D501</f>
        <v/>
      </c>
      <c r="G501">
        <f>IF(D501&gt;Summary!$B$3,"Current",IF(F501&lt;=30,"0-30",IF(F501&lt;=60,"31-60",IF(F501&lt;=90,"61-90","90+"))))</f>
        <v/>
      </c>
    </row>
    <row r="502">
      <c r="A502" t="inlineStr">
        <is>
          <t>0009017521</t>
        </is>
      </c>
      <c r="B502" t="inlineStr">
        <is>
          <t>0000100477</t>
        </is>
      </c>
      <c r="C502" s="3" t="n">
        <v>45619</v>
      </c>
      <c r="D502" s="3" t="n">
        <v>45649</v>
      </c>
      <c r="E502" s="4" t="n">
        <v>3213.49</v>
      </c>
      <c r="F502">
        <f>Summary!$B$3-D502</f>
        <v/>
      </c>
      <c r="G502">
        <f>IF(D502&gt;Summary!$B$3,"Current",IF(F502&lt;=30,"0-30",IF(F502&lt;=60,"31-60",IF(F502&lt;=90,"61-90","90+"))))</f>
        <v/>
      </c>
    </row>
    <row r="503">
      <c r="A503" t="inlineStr">
        <is>
          <t>0009017540</t>
        </is>
      </c>
      <c r="B503" t="inlineStr">
        <is>
          <t>0000100223</t>
        </is>
      </c>
      <c r="C503" s="3" t="n">
        <v>45618</v>
      </c>
      <c r="D503" s="3" t="n">
        <v>45663</v>
      </c>
      <c r="E503" s="4" t="n">
        <v>282.14</v>
      </c>
      <c r="F503">
        <f>Summary!$B$3-D503</f>
        <v/>
      </c>
      <c r="G503">
        <f>IF(D503&gt;Summary!$B$3,"Current",IF(F503&lt;=30,"0-30",IF(F503&lt;=60,"31-60",IF(F503&lt;=90,"61-90","90+"))))</f>
        <v/>
      </c>
    </row>
    <row r="504">
      <c r="A504" t="inlineStr">
        <is>
          <t>0009017560</t>
        </is>
      </c>
      <c r="B504" t="inlineStr">
        <is>
          <t>0000100576</t>
        </is>
      </c>
      <c r="C504" s="3" t="n">
        <v>45622</v>
      </c>
      <c r="D504" s="3" t="n">
        <v>45652</v>
      </c>
      <c r="E504" s="4" t="n">
        <v>296.59</v>
      </c>
      <c r="F504">
        <f>Summary!$B$3-D504</f>
        <v/>
      </c>
      <c r="G504">
        <f>IF(D504&gt;Summary!$B$3,"Current",IF(F504&lt;=30,"0-30",IF(F504&lt;=60,"31-60",IF(F504&lt;=90,"61-90","90+"))))</f>
        <v/>
      </c>
    </row>
    <row r="505">
      <c r="A505" t="inlineStr">
        <is>
          <t>0009017599</t>
        </is>
      </c>
      <c r="B505" t="inlineStr">
        <is>
          <t>0000100518</t>
        </is>
      </c>
      <c r="C505" s="3" t="n">
        <v>45618</v>
      </c>
      <c r="D505" s="3" t="n">
        <v>45648</v>
      </c>
      <c r="E505" s="4" t="n">
        <v>965.46</v>
      </c>
      <c r="F505">
        <f>Summary!$B$3-D505</f>
        <v/>
      </c>
      <c r="G505">
        <f>IF(D505&gt;Summary!$B$3,"Current",IF(F505&lt;=30,"0-30",IF(F505&lt;=60,"31-60",IF(F505&lt;=90,"61-90","90+"))))</f>
        <v/>
      </c>
    </row>
    <row r="506">
      <c r="A506" t="inlineStr">
        <is>
          <t>0009017630</t>
        </is>
      </c>
      <c r="B506" t="inlineStr">
        <is>
          <t>0000100207</t>
        </is>
      </c>
      <c r="C506" s="3" t="n">
        <v>45617</v>
      </c>
      <c r="D506" s="3" t="n">
        <v>45647</v>
      </c>
      <c r="E506" s="4" t="n">
        <v>398.98</v>
      </c>
      <c r="F506">
        <f>Summary!$B$3-D506</f>
        <v/>
      </c>
      <c r="G506">
        <f>IF(D506&gt;Summary!$B$3,"Current",IF(F506&lt;=30,"0-30",IF(F506&lt;=60,"31-60",IF(F506&lt;=90,"61-90","90+"))))</f>
        <v/>
      </c>
    </row>
    <row r="507">
      <c r="A507" t="inlineStr">
        <is>
          <t>0009017713</t>
        </is>
      </c>
      <c r="B507" t="inlineStr">
        <is>
          <t>0000100377</t>
        </is>
      </c>
      <c r="C507" s="3" t="n">
        <v>45620</v>
      </c>
      <c r="D507" s="3" t="n">
        <v>45650</v>
      </c>
      <c r="E507" s="4" t="n">
        <v>694.41</v>
      </c>
      <c r="F507">
        <f>Summary!$B$3-D507</f>
        <v/>
      </c>
      <c r="G507">
        <f>IF(D507&gt;Summary!$B$3,"Current",IF(F507&lt;=30,"0-30",IF(F507&lt;=60,"31-60",IF(F507&lt;=90,"61-90","90+"))))</f>
        <v/>
      </c>
    </row>
    <row r="508">
      <c r="A508" t="inlineStr">
        <is>
          <t>0009017764</t>
        </is>
      </c>
      <c r="B508" t="inlineStr">
        <is>
          <t>0000100338</t>
        </is>
      </c>
      <c r="C508" s="3" t="n">
        <v>45628</v>
      </c>
      <c r="D508" s="3" t="n">
        <v>45688</v>
      </c>
      <c r="E508" s="4" t="n">
        <v>1399.68</v>
      </c>
      <c r="F508">
        <f>Summary!$B$3-D508</f>
        <v/>
      </c>
      <c r="G508">
        <f>IF(D508&gt;Summary!$B$3,"Current",IF(F508&lt;=30,"0-30",IF(F508&lt;=60,"31-60",IF(F508&lt;=90,"61-90","90+"))))</f>
        <v/>
      </c>
    </row>
    <row r="509">
      <c r="A509" t="inlineStr">
        <is>
          <t>0009017782</t>
        </is>
      </c>
      <c r="B509" t="inlineStr">
        <is>
          <t>0000100219</t>
        </is>
      </c>
      <c r="C509" s="3" t="n">
        <v>45628</v>
      </c>
      <c r="D509" s="3" t="n">
        <v>45658</v>
      </c>
      <c r="E509" s="4" t="n">
        <v>2554.14</v>
      </c>
      <c r="F509">
        <f>Summary!$B$3-D509</f>
        <v/>
      </c>
      <c r="G509">
        <f>IF(D509&gt;Summary!$B$3,"Current",IF(F509&lt;=30,"0-30",IF(F509&lt;=60,"31-60",IF(F509&lt;=90,"61-90","90+"))))</f>
        <v/>
      </c>
    </row>
    <row r="510">
      <c r="A510" t="inlineStr">
        <is>
          <t>0009017899</t>
        </is>
      </c>
      <c r="B510" t="inlineStr">
        <is>
          <t>0000100456</t>
        </is>
      </c>
      <c r="C510" s="3" t="n">
        <v>45633</v>
      </c>
      <c r="D510" s="3" t="n">
        <v>45693</v>
      </c>
      <c r="E510" s="4" t="n">
        <v>1118.16</v>
      </c>
      <c r="F510">
        <f>Summary!$B$3-D510</f>
        <v/>
      </c>
      <c r="G510">
        <f>IF(D510&gt;Summary!$B$3,"Current",IF(F510&lt;=30,"0-30",IF(F510&lt;=60,"31-60",IF(F510&lt;=90,"61-90","90+"))))</f>
        <v/>
      </c>
    </row>
    <row r="511">
      <c r="A511" t="inlineStr">
        <is>
          <t>0009017919</t>
        </is>
      </c>
      <c r="B511" t="inlineStr">
        <is>
          <t>0000100051</t>
        </is>
      </c>
      <c r="C511" s="3" t="n">
        <v>45631</v>
      </c>
      <c r="D511" s="3" t="n">
        <v>45691</v>
      </c>
      <c r="E511" s="4" t="n">
        <v>17.4</v>
      </c>
      <c r="F511">
        <f>Summary!$B$3-D511</f>
        <v/>
      </c>
      <c r="G511">
        <f>IF(D511&gt;Summary!$B$3,"Current",IF(F511&lt;=30,"0-30",IF(F511&lt;=60,"31-60",IF(F511&lt;=90,"61-90","90+"))))</f>
        <v/>
      </c>
    </row>
    <row r="512">
      <c r="A512" t="inlineStr">
        <is>
          <t>0009017939</t>
        </is>
      </c>
      <c r="B512" t="inlineStr">
        <is>
          <t>0000100513</t>
        </is>
      </c>
      <c r="C512" s="3" t="n">
        <v>45631</v>
      </c>
      <c r="D512" s="3" t="n">
        <v>45691</v>
      </c>
      <c r="E512" s="4" t="n">
        <v>1046.6</v>
      </c>
      <c r="F512">
        <f>Summary!$B$3-D512</f>
        <v/>
      </c>
      <c r="G512">
        <f>IF(D512&gt;Summary!$B$3,"Current",IF(F512&lt;=30,"0-30",IF(F512&lt;=60,"31-60",IF(F512&lt;=90,"61-90","90+"))))</f>
        <v/>
      </c>
    </row>
    <row r="513">
      <c r="A513" t="inlineStr">
        <is>
          <t>0009017947</t>
        </is>
      </c>
      <c r="B513" t="inlineStr">
        <is>
          <t>0000100141</t>
        </is>
      </c>
      <c r="C513" s="3" t="n">
        <v>45628</v>
      </c>
      <c r="D513" s="3" t="n">
        <v>45658</v>
      </c>
      <c r="E513" s="4" t="n">
        <v>571.59</v>
      </c>
      <c r="F513">
        <f>Summary!$B$3-D513</f>
        <v/>
      </c>
      <c r="G513">
        <f>IF(D513&gt;Summary!$B$3,"Current",IF(F513&lt;=30,"0-30",IF(F513&lt;=60,"31-60",IF(F513&lt;=90,"61-90","90+"))))</f>
        <v/>
      </c>
    </row>
    <row r="514">
      <c r="A514" t="inlineStr">
        <is>
          <t>0009017981</t>
        </is>
      </c>
      <c r="B514" t="inlineStr">
        <is>
          <t>0000100274</t>
        </is>
      </c>
      <c r="C514" s="3" t="n">
        <v>45625</v>
      </c>
      <c r="D514" s="3" t="n">
        <v>45670</v>
      </c>
      <c r="E514" s="4" t="n">
        <v>1661.26</v>
      </c>
      <c r="F514">
        <f>Summary!$B$3-D514</f>
        <v/>
      </c>
      <c r="G514">
        <f>IF(D514&gt;Summary!$B$3,"Current",IF(F514&lt;=30,"0-30",IF(F514&lt;=60,"31-60",IF(F514&lt;=90,"61-90","90+"))))</f>
        <v/>
      </c>
    </row>
    <row r="515">
      <c r="A515" t="inlineStr">
        <is>
          <t>0009018063</t>
        </is>
      </c>
      <c r="B515" t="inlineStr">
        <is>
          <t>0000100344</t>
        </is>
      </c>
      <c r="C515" s="3" t="n">
        <v>45633</v>
      </c>
      <c r="D515" s="3" t="n">
        <v>45663</v>
      </c>
      <c r="E515" s="4" t="n">
        <v>246.58</v>
      </c>
      <c r="F515">
        <f>Summary!$B$3-D515</f>
        <v/>
      </c>
      <c r="G515">
        <f>IF(D515&gt;Summary!$B$3,"Current",IF(F515&lt;=30,"0-30",IF(F515&lt;=60,"31-60",IF(F515&lt;=90,"61-90","90+"))))</f>
        <v/>
      </c>
    </row>
    <row r="516">
      <c r="A516" t="inlineStr">
        <is>
          <t>0009018119</t>
        </is>
      </c>
      <c r="B516" t="inlineStr">
        <is>
          <t>0000100262</t>
        </is>
      </c>
      <c r="C516" s="3" t="n">
        <v>45636</v>
      </c>
      <c r="D516" s="3" t="n">
        <v>45681</v>
      </c>
      <c r="E516" s="4" t="n">
        <v>437</v>
      </c>
      <c r="F516">
        <f>Summary!$B$3-D516</f>
        <v/>
      </c>
      <c r="G516">
        <f>IF(D516&gt;Summary!$B$3,"Current",IF(F516&lt;=30,"0-30",IF(F516&lt;=60,"31-60",IF(F516&lt;=90,"61-90","90+"))))</f>
        <v/>
      </c>
    </row>
    <row r="517">
      <c r="A517" t="inlineStr">
        <is>
          <t>0009018216</t>
        </is>
      </c>
      <c r="B517" t="inlineStr">
        <is>
          <t>0000100377</t>
        </is>
      </c>
      <c r="C517" s="3" t="n">
        <v>45636</v>
      </c>
      <c r="D517" s="3" t="n">
        <v>45666</v>
      </c>
      <c r="E517" s="4" t="n">
        <v>287.44</v>
      </c>
      <c r="F517">
        <f>Summary!$B$3-D517</f>
        <v/>
      </c>
      <c r="G517">
        <f>IF(D517&gt;Summary!$B$3,"Current",IF(F517&lt;=30,"0-30",IF(F517&lt;=60,"31-60",IF(F517&lt;=90,"61-90","90+"))))</f>
        <v/>
      </c>
    </row>
    <row r="518">
      <c r="A518" t="inlineStr">
        <is>
          <t>0009018268</t>
        </is>
      </c>
      <c r="B518" t="inlineStr">
        <is>
          <t>0000100239</t>
        </is>
      </c>
      <c r="C518" s="3" t="n">
        <v>45636</v>
      </c>
      <c r="D518" s="3" t="n">
        <v>45681</v>
      </c>
      <c r="E518" s="4" t="n">
        <v>998.95</v>
      </c>
      <c r="F518">
        <f>Summary!$B$3-D518</f>
        <v/>
      </c>
      <c r="G518">
        <f>IF(D518&gt;Summary!$B$3,"Current",IF(F518&lt;=30,"0-30",IF(F518&lt;=60,"31-60",IF(F518&lt;=90,"61-90","90+"))))</f>
        <v/>
      </c>
    </row>
    <row r="519">
      <c r="A519" t="inlineStr">
        <is>
          <t>0009018374</t>
        </is>
      </c>
      <c r="B519" t="inlineStr">
        <is>
          <t>0000100272</t>
        </is>
      </c>
      <c r="C519" s="3" t="n">
        <v>45644</v>
      </c>
      <c r="D519" s="3" t="n">
        <v>45704</v>
      </c>
      <c r="E519" s="4" t="n">
        <v>91.62</v>
      </c>
      <c r="F519">
        <f>Summary!$B$3-D519</f>
        <v/>
      </c>
      <c r="G519">
        <f>IF(D519&gt;Summary!$B$3,"Current",IF(F519&lt;=30,"0-30",IF(F519&lt;=60,"31-60",IF(F519&lt;=90,"61-90","90+"))))</f>
        <v/>
      </c>
    </row>
    <row r="520">
      <c r="A520" t="inlineStr">
        <is>
          <t>0009018425</t>
        </is>
      </c>
      <c r="B520" t="inlineStr">
        <is>
          <t>0000100052</t>
        </is>
      </c>
      <c r="C520" s="3" t="n">
        <v>45642</v>
      </c>
      <c r="D520" s="3" t="n">
        <v>45687</v>
      </c>
      <c r="E520" s="4" t="n">
        <v>719.4299999999999</v>
      </c>
      <c r="F520">
        <f>Summary!$B$3-D520</f>
        <v/>
      </c>
      <c r="G520">
        <f>IF(D520&gt;Summary!$B$3,"Current",IF(F520&lt;=30,"0-30",IF(F520&lt;=60,"31-60",IF(F520&lt;=90,"61-90","90+"))))</f>
        <v/>
      </c>
    </row>
    <row r="521">
      <c r="A521" t="inlineStr">
        <is>
          <t>0009018463</t>
        </is>
      </c>
      <c r="B521" t="inlineStr">
        <is>
          <t>0000100298</t>
        </is>
      </c>
      <c r="C521" s="3" t="n">
        <v>45641</v>
      </c>
      <c r="D521" s="3" t="n">
        <v>45671</v>
      </c>
      <c r="E521" s="4" t="n">
        <v>426.12</v>
      </c>
      <c r="F521">
        <f>Summary!$B$3-D521</f>
        <v/>
      </c>
      <c r="G521">
        <f>IF(D521&gt;Summary!$B$3,"Current",IF(F521&lt;=30,"0-30",IF(F521&lt;=60,"31-60",IF(F521&lt;=90,"61-90","90+"))))</f>
        <v/>
      </c>
    </row>
    <row r="522">
      <c r="A522" t="inlineStr">
        <is>
          <t>0009018482</t>
        </is>
      </c>
      <c r="B522" t="inlineStr">
        <is>
          <t>0000100116</t>
        </is>
      </c>
      <c r="C522" s="3" t="n">
        <v>45641</v>
      </c>
      <c r="D522" s="3" t="n">
        <v>45686</v>
      </c>
      <c r="E522" s="4" t="n">
        <v>3440.11</v>
      </c>
      <c r="F522">
        <f>Summary!$B$3-D522</f>
        <v/>
      </c>
      <c r="G522">
        <f>IF(D522&gt;Summary!$B$3,"Current",IF(F522&lt;=30,"0-30",IF(F522&lt;=60,"31-60",IF(F522&lt;=90,"61-90","90+"))))</f>
        <v/>
      </c>
    </row>
    <row r="523">
      <c r="A523" t="inlineStr">
        <is>
          <t>0009018572</t>
        </is>
      </c>
      <c r="B523" t="inlineStr">
        <is>
          <t>0000100521</t>
        </is>
      </c>
      <c r="C523" s="3" t="n">
        <v>45649</v>
      </c>
      <c r="D523" s="3" t="n">
        <v>45679</v>
      </c>
      <c r="E523" s="4" t="n">
        <v>798.45</v>
      </c>
      <c r="F523">
        <f>Summary!$B$3-D523</f>
        <v/>
      </c>
      <c r="G523">
        <f>IF(D523&gt;Summary!$B$3,"Current",IF(F523&lt;=30,"0-30",IF(F523&lt;=60,"31-60",IF(F523&lt;=90,"61-90","90+"))))</f>
        <v/>
      </c>
    </row>
    <row r="524">
      <c r="A524" t="inlineStr">
        <is>
          <t>0009018589</t>
        </is>
      </c>
      <c r="B524" t="inlineStr">
        <is>
          <t>0000100000</t>
        </is>
      </c>
      <c r="C524" s="3" t="n">
        <v>45648</v>
      </c>
      <c r="D524" s="3" t="n">
        <v>45678</v>
      </c>
      <c r="E524" s="4" t="n">
        <v>197.37</v>
      </c>
      <c r="F524">
        <f>Summary!$B$3-D524</f>
        <v/>
      </c>
      <c r="G524">
        <f>IF(D524&gt;Summary!$B$3,"Current",IF(F524&lt;=30,"0-30",IF(F524&lt;=60,"31-60",IF(F524&lt;=90,"61-90","90+"))))</f>
        <v/>
      </c>
    </row>
    <row r="525">
      <c r="A525" t="inlineStr">
        <is>
          <t>0009018610</t>
        </is>
      </c>
      <c r="B525" t="inlineStr">
        <is>
          <t>0000100475</t>
        </is>
      </c>
      <c r="C525" s="3" t="n">
        <v>45649</v>
      </c>
      <c r="D525" s="3" t="n">
        <v>45679</v>
      </c>
      <c r="E525" s="4" t="n">
        <v>374.27</v>
      </c>
      <c r="F525">
        <f>Summary!$B$3-D525</f>
        <v/>
      </c>
      <c r="G525">
        <f>IF(D525&gt;Summary!$B$3,"Current",IF(F525&lt;=30,"0-30",IF(F525&lt;=60,"31-60",IF(F525&lt;=90,"61-90","90+"))))</f>
        <v/>
      </c>
    </row>
    <row r="526">
      <c r="A526" t="inlineStr">
        <is>
          <t>0009018659</t>
        </is>
      </c>
      <c r="B526" t="inlineStr">
        <is>
          <t>0000100444</t>
        </is>
      </c>
      <c r="C526" s="3" t="n">
        <v>45654</v>
      </c>
      <c r="D526" s="3" t="n">
        <v>45684</v>
      </c>
      <c r="E526" s="4" t="n">
        <v>232.51</v>
      </c>
      <c r="F526">
        <f>Summary!$B$3-D526</f>
        <v/>
      </c>
      <c r="G526">
        <f>IF(D526&gt;Summary!$B$3,"Current",IF(F526&lt;=30,"0-30",IF(F526&lt;=60,"31-60",IF(F526&lt;=90,"61-90","90+"))))</f>
        <v/>
      </c>
    </row>
    <row r="527">
      <c r="A527" t="inlineStr">
        <is>
          <t>0009018680</t>
        </is>
      </c>
      <c r="B527" t="inlineStr">
        <is>
          <t>0000100492</t>
        </is>
      </c>
      <c r="C527" s="3" t="n">
        <v>45652</v>
      </c>
      <c r="D527" s="3" t="n">
        <v>45682</v>
      </c>
      <c r="E527" s="4" t="n">
        <v>284</v>
      </c>
      <c r="F527">
        <f>Summary!$B$3-D527</f>
        <v/>
      </c>
      <c r="G527">
        <f>IF(D527&gt;Summary!$B$3,"Current",IF(F527&lt;=30,"0-30",IF(F527&lt;=60,"31-60",IF(F527&lt;=90,"61-90","90+"))))</f>
        <v/>
      </c>
    </row>
    <row r="528">
      <c r="A528" t="inlineStr">
        <is>
          <t>0009018708</t>
        </is>
      </c>
      <c r="B528" t="inlineStr">
        <is>
          <t>0000100234</t>
        </is>
      </c>
      <c r="C528" s="3" t="n">
        <v>45650</v>
      </c>
      <c r="D528" s="3" t="n">
        <v>45695</v>
      </c>
      <c r="E528" s="4" t="n">
        <v>453.22</v>
      </c>
      <c r="F528">
        <f>Summary!$B$3-D528</f>
        <v/>
      </c>
      <c r="G528">
        <f>IF(D528&gt;Summary!$B$3,"Current",IF(F528&lt;=30,"0-30",IF(F528&lt;=60,"31-60",IF(F528&lt;=90,"61-90","90+"))))</f>
        <v/>
      </c>
    </row>
    <row r="529">
      <c r="A529" t="inlineStr">
        <is>
          <t>0009018728</t>
        </is>
      </c>
      <c r="B529" t="inlineStr">
        <is>
          <t>0000100588</t>
        </is>
      </c>
      <c r="C529" s="3" t="n">
        <v>45651</v>
      </c>
      <c r="D529" s="3" t="n">
        <v>45681</v>
      </c>
      <c r="E529" s="4" t="n">
        <v>137.4</v>
      </c>
      <c r="F529">
        <f>Summary!$B$3-D529</f>
        <v/>
      </c>
      <c r="G529">
        <f>IF(D529&gt;Summary!$B$3,"Current",IF(F529&lt;=30,"0-30",IF(F529&lt;=60,"31-60",IF(F529&lt;=90,"61-90","90+"))))</f>
        <v/>
      </c>
    </row>
    <row r="530">
      <c r="A530" t="inlineStr">
        <is>
          <t>0009018752</t>
        </is>
      </c>
      <c r="B530" t="inlineStr">
        <is>
          <t>0000100018</t>
        </is>
      </c>
      <c r="C530" s="3" t="n">
        <v>45658</v>
      </c>
      <c r="D530" s="3" t="n">
        <v>45688</v>
      </c>
      <c r="E530" s="4" t="n">
        <v>2429.19</v>
      </c>
      <c r="F530">
        <f>Summary!$B$3-D530</f>
        <v/>
      </c>
      <c r="G530">
        <f>IF(D530&gt;Summary!$B$3,"Current",IF(F530&lt;=30,"0-30",IF(F530&lt;=60,"31-60",IF(F530&lt;=90,"61-90","90+"))))</f>
        <v/>
      </c>
    </row>
    <row r="531">
      <c r="A531" t="inlineStr">
        <is>
          <t>0009018756</t>
        </is>
      </c>
      <c r="B531" t="inlineStr">
        <is>
          <t>0000100590</t>
        </is>
      </c>
      <c r="C531" s="3" t="n">
        <v>45652</v>
      </c>
      <c r="D531" s="3" t="n">
        <v>45682</v>
      </c>
      <c r="E531" s="4" t="n">
        <v>137.56</v>
      </c>
      <c r="F531">
        <f>Summary!$B$3-D531</f>
        <v/>
      </c>
      <c r="G531">
        <f>IF(D531&gt;Summary!$B$3,"Current",IF(F531&lt;=30,"0-30",IF(F531&lt;=60,"31-60",IF(F531&lt;=90,"61-90","90+"))))</f>
        <v/>
      </c>
    </row>
    <row r="532">
      <c r="A532" t="inlineStr">
        <is>
          <t>0009018777</t>
        </is>
      </c>
      <c r="B532" t="inlineStr">
        <is>
          <t>0000100000</t>
        </is>
      </c>
      <c r="C532" s="3" t="n">
        <v>45652</v>
      </c>
      <c r="D532" s="3" t="n">
        <v>45682</v>
      </c>
      <c r="E532" s="4" t="n">
        <v>71.40000000000001</v>
      </c>
      <c r="F532">
        <f>Summary!$B$3-D532</f>
        <v/>
      </c>
      <c r="G532">
        <f>IF(D532&gt;Summary!$B$3,"Current",IF(F532&lt;=30,"0-30",IF(F532&lt;=60,"31-60",IF(F532&lt;=90,"61-90","90+"))))</f>
        <v/>
      </c>
    </row>
    <row r="533">
      <c r="A533" t="inlineStr">
        <is>
          <t>0009018811</t>
        </is>
      </c>
      <c r="B533" t="inlineStr">
        <is>
          <t>0000100106</t>
        </is>
      </c>
      <c r="C533" s="3" t="n">
        <v>45652</v>
      </c>
      <c r="D533" s="3" t="n">
        <v>45697</v>
      </c>
      <c r="E533" s="4" t="n">
        <v>110.39</v>
      </c>
      <c r="F533">
        <f>Summary!$B$3-D533</f>
        <v/>
      </c>
      <c r="G533">
        <f>IF(D533&gt;Summary!$B$3,"Current",IF(F533&lt;=30,"0-30",IF(F533&lt;=60,"31-60",IF(F533&lt;=90,"61-90","90+"))))</f>
        <v/>
      </c>
    </row>
    <row r="534">
      <c r="A534" t="inlineStr">
        <is>
          <t>0009018816</t>
        </is>
      </c>
      <c r="B534" t="inlineStr">
        <is>
          <t>0000100195</t>
        </is>
      </c>
      <c r="C534" s="3" t="n">
        <v>45652</v>
      </c>
      <c r="D534" s="3" t="n">
        <v>45682</v>
      </c>
      <c r="E534" s="4" t="n">
        <v>670.61</v>
      </c>
      <c r="F534">
        <f>Summary!$B$3-D534</f>
        <v/>
      </c>
      <c r="G534">
        <f>IF(D534&gt;Summary!$B$3,"Current",IF(F534&lt;=30,"0-30",IF(F534&lt;=60,"31-60",IF(F534&lt;=90,"61-90","90+"))))</f>
        <v/>
      </c>
    </row>
    <row r="535">
      <c r="A535" t="inlineStr">
        <is>
          <t>0009018857</t>
        </is>
      </c>
      <c r="B535" t="inlineStr">
        <is>
          <t>0000100269</t>
        </is>
      </c>
      <c r="C535" s="3" t="n">
        <v>45653</v>
      </c>
      <c r="D535" s="3" t="n">
        <v>45683</v>
      </c>
      <c r="E535" s="4" t="n">
        <v>975.16</v>
      </c>
      <c r="F535">
        <f>Summary!$B$3-D535</f>
        <v/>
      </c>
      <c r="G535">
        <f>IF(D535&gt;Summary!$B$3,"Current",IF(F535&lt;=30,"0-30",IF(F535&lt;=60,"31-60",IF(F535&lt;=90,"61-90","90+"))))</f>
        <v/>
      </c>
    </row>
    <row r="536">
      <c r="A536" t="inlineStr">
        <is>
          <t>0009018883</t>
        </is>
      </c>
      <c r="B536" t="inlineStr">
        <is>
          <t>0000100474</t>
        </is>
      </c>
      <c r="C536" s="3" t="n">
        <v>45651</v>
      </c>
      <c r="D536" s="3" t="n">
        <v>45711</v>
      </c>
      <c r="E536" s="4" t="n">
        <v>354.85</v>
      </c>
      <c r="F536">
        <f>Summary!$B$3-D536</f>
        <v/>
      </c>
      <c r="G536">
        <f>IF(D536&gt;Summary!$B$3,"Current",IF(F536&lt;=30,"0-30",IF(F536&lt;=60,"31-60",IF(F536&lt;=90,"61-90","90+"))))</f>
        <v/>
      </c>
    </row>
    <row r="537">
      <c r="A537" t="inlineStr">
        <is>
          <t>0009018915</t>
        </is>
      </c>
      <c r="B537" t="inlineStr">
        <is>
          <t>0000100394</t>
        </is>
      </c>
      <c r="C537" s="3" t="n">
        <v>45661</v>
      </c>
      <c r="D537" s="3" t="n">
        <v>45721</v>
      </c>
      <c r="E537" s="4" t="n">
        <v>2677.1</v>
      </c>
      <c r="F537">
        <f>Summary!$B$3-D537</f>
        <v/>
      </c>
      <c r="G537">
        <f>IF(D537&gt;Summary!$B$3,"Current",IF(F537&lt;=30,"0-30",IF(F537&lt;=60,"31-60",IF(F537&lt;=90,"61-90","90+"))))</f>
        <v/>
      </c>
    </row>
    <row r="538">
      <c r="A538" t="inlineStr">
        <is>
          <t>0009018920</t>
        </is>
      </c>
      <c r="B538" t="inlineStr">
        <is>
          <t>0000100450</t>
        </is>
      </c>
      <c r="C538" s="3" t="n">
        <v>45655</v>
      </c>
      <c r="D538" s="3" t="n">
        <v>45700</v>
      </c>
      <c r="E538" s="4" t="n">
        <v>949.53</v>
      </c>
      <c r="F538">
        <f>Summary!$B$3-D538</f>
        <v/>
      </c>
      <c r="G538">
        <f>IF(D538&gt;Summary!$B$3,"Current",IF(F538&lt;=30,"0-30",IF(F538&lt;=60,"31-60",IF(F538&lt;=90,"61-90","90+"))))</f>
        <v/>
      </c>
    </row>
    <row r="539">
      <c r="A539" t="inlineStr">
        <is>
          <t>0009018932</t>
        </is>
      </c>
      <c r="B539" t="inlineStr">
        <is>
          <t>0000100309</t>
        </is>
      </c>
      <c r="C539" s="3" t="n">
        <v>45651</v>
      </c>
      <c r="D539" s="3" t="n">
        <v>45681</v>
      </c>
      <c r="E539" s="4" t="n">
        <v>648.34</v>
      </c>
      <c r="F539">
        <f>Summary!$B$3-D539</f>
        <v/>
      </c>
      <c r="G539">
        <f>IF(D539&gt;Summary!$B$3,"Current",IF(F539&lt;=30,"0-30",IF(F539&lt;=60,"31-60",IF(F539&lt;=90,"61-90","90+"))))</f>
        <v/>
      </c>
    </row>
    <row r="540">
      <c r="A540" t="inlineStr">
        <is>
          <t>0009018940</t>
        </is>
      </c>
      <c r="B540" t="inlineStr">
        <is>
          <t>0000100409</t>
        </is>
      </c>
      <c r="C540" s="3" t="n">
        <v>45655</v>
      </c>
      <c r="D540" s="3" t="n">
        <v>45685</v>
      </c>
      <c r="E540" s="4" t="n">
        <v>135.38</v>
      </c>
      <c r="F540">
        <f>Summary!$B$3-D540</f>
        <v/>
      </c>
      <c r="G540">
        <f>IF(D540&gt;Summary!$B$3,"Current",IF(F540&lt;=30,"0-30",IF(F540&lt;=60,"31-60",IF(F540&lt;=90,"61-90","90+"))))</f>
        <v/>
      </c>
    </row>
    <row r="541">
      <c r="A541" t="inlineStr">
        <is>
          <t>0009018978</t>
        </is>
      </c>
      <c r="B541" t="inlineStr">
        <is>
          <t>0000100409</t>
        </is>
      </c>
      <c r="C541" s="3" t="n">
        <v>45651</v>
      </c>
      <c r="D541" s="3" t="n">
        <v>45681</v>
      </c>
      <c r="E541" s="4" t="n">
        <v>279.63</v>
      </c>
      <c r="F541">
        <f>Summary!$B$3-D541</f>
        <v/>
      </c>
      <c r="G541">
        <f>IF(D541&gt;Summary!$B$3,"Current",IF(F541&lt;=30,"0-30",IF(F541&lt;=60,"31-60",IF(F541&lt;=90,"61-90","90+"))))</f>
        <v/>
      </c>
    </row>
    <row r="542">
      <c r="A542" t="inlineStr">
        <is>
          <t>0009018980</t>
        </is>
      </c>
      <c r="B542" t="inlineStr">
        <is>
          <t>0000100552</t>
        </is>
      </c>
      <c r="C542" s="3" t="n">
        <v>45654</v>
      </c>
      <c r="D542" s="3" t="n">
        <v>45684</v>
      </c>
      <c r="E542" s="4" t="n">
        <v>736.04</v>
      </c>
      <c r="F542">
        <f>Summary!$B$3-D542</f>
        <v/>
      </c>
      <c r="G542">
        <f>IF(D542&gt;Summary!$B$3,"Current",IF(F542&lt;=30,"0-30",IF(F542&lt;=60,"31-60",IF(F542&lt;=90,"61-90","90+"))))</f>
        <v/>
      </c>
    </row>
    <row r="543">
      <c r="A543" t="inlineStr">
        <is>
          <t>0009019007</t>
        </is>
      </c>
      <c r="B543" t="inlineStr">
        <is>
          <t>0000100207</t>
        </is>
      </c>
      <c r="C543" s="3" t="n">
        <v>45655</v>
      </c>
      <c r="D543" s="3" t="n">
        <v>45685</v>
      </c>
      <c r="E543" s="4" t="n">
        <v>1358.29</v>
      </c>
      <c r="F543">
        <f>Summary!$B$3-D543</f>
        <v/>
      </c>
      <c r="G543">
        <f>IF(D543&gt;Summary!$B$3,"Current",IF(F543&lt;=30,"0-30",IF(F543&lt;=60,"31-60",IF(F543&lt;=90,"61-90","90+"))))</f>
        <v/>
      </c>
    </row>
    <row r="544">
      <c r="A544" t="inlineStr">
        <is>
          <t>0009019048</t>
        </is>
      </c>
      <c r="B544" t="inlineStr">
        <is>
          <t>0000100313</t>
        </is>
      </c>
      <c r="C544" s="3" t="n">
        <v>45655</v>
      </c>
      <c r="D544" s="3" t="n">
        <v>45715</v>
      </c>
      <c r="E544" s="4" t="n">
        <v>862.33</v>
      </c>
      <c r="F544">
        <f>Summary!$B$3-D544</f>
        <v/>
      </c>
      <c r="G544">
        <f>IF(D544&gt;Summary!$B$3,"Current",IF(F544&lt;=30,"0-30",IF(F544&lt;=60,"31-60",IF(F544&lt;=90,"61-90","90+"))))</f>
        <v/>
      </c>
    </row>
    <row r="545">
      <c r="A545" t="inlineStr">
        <is>
          <t>0009019072</t>
        </is>
      </c>
      <c r="B545" t="inlineStr">
        <is>
          <t>0000100576</t>
        </is>
      </c>
      <c r="C545" s="3" t="n">
        <v>45661</v>
      </c>
      <c r="D545" s="3" t="n">
        <v>45691</v>
      </c>
      <c r="E545" s="4" t="n">
        <v>1633.92</v>
      </c>
      <c r="F545">
        <f>Summary!$B$3-D545</f>
        <v/>
      </c>
      <c r="G545">
        <f>IF(D545&gt;Summary!$B$3,"Current",IF(F545&lt;=30,"0-30",IF(F545&lt;=60,"31-60",IF(F545&lt;=90,"61-90","90+"))))</f>
        <v/>
      </c>
    </row>
    <row r="546">
      <c r="A546" t="inlineStr">
        <is>
          <t>0009019127</t>
        </is>
      </c>
      <c r="B546" t="inlineStr">
        <is>
          <t>0000100465</t>
        </is>
      </c>
      <c r="C546" s="3" t="n">
        <v>45662</v>
      </c>
      <c r="D546" s="3" t="n">
        <v>45722</v>
      </c>
      <c r="E546" s="4" t="n">
        <v>179.95</v>
      </c>
      <c r="F546">
        <f>Summary!$B$3-D546</f>
        <v/>
      </c>
      <c r="G546">
        <f>IF(D546&gt;Summary!$B$3,"Current",IF(F546&lt;=30,"0-30",IF(F546&lt;=60,"31-60",IF(F546&lt;=90,"61-90","90+"))))</f>
        <v/>
      </c>
    </row>
    <row r="547">
      <c r="A547" t="inlineStr">
        <is>
          <t>0009019170</t>
        </is>
      </c>
      <c r="B547" t="inlineStr">
        <is>
          <t>0000100574</t>
        </is>
      </c>
      <c r="C547" s="3" t="n">
        <v>45665</v>
      </c>
      <c r="D547" s="3" t="n">
        <v>45710</v>
      </c>
      <c r="E547" s="4" t="n">
        <v>1149.38</v>
      </c>
      <c r="F547">
        <f>Summary!$B$3-D547</f>
        <v/>
      </c>
      <c r="G547">
        <f>IF(D547&gt;Summary!$B$3,"Current",IF(F547&lt;=30,"0-30",IF(F547&lt;=60,"31-60",IF(F547&lt;=90,"61-90","90+"))))</f>
        <v/>
      </c>
    </row>
    <row r="548">
      <c r="A548" t="inlineStr">
        <is>
          <t>0009019189</t>
        </is>
      </c>
      <c r="B548" t="inlineStr">
        <is>
          <t>0000100256</t>
        </is>
      </c>
      <c r="C548" s="3" t="n">
        <v>45661</v>
      </c>
      <c r="D548" s="3" t="n">
        <v>45706</v>
      </c>
      <c r="E548" s="4" t="n">
        <v>746.89</v>
      </c>
      <c r="F548">
        <f>Summary!$B$3-D548</f>
        <v/>
      </c>
      <c r="G548">
        <f>IF(D548&gt;Summary!$B$3,"Current",IF(F548&lt;=30,"0-30",IF(F548&lt;=60,"31-60",IF(F548&lt;=90,"61-90","90+"))))</f>
        <v/>
      </c>
    </row>
    <row r="549">
      <c r="A549" t="inlineStr">
        <is>
          <t>0009019201</t>
        </is>
      </c>
      <c r="B549" t="inlineStr">
        <is>
          <t>0000100111</t>
        </is>
      </c>
      <c r="C549" s="3" t="n">
        <v>45669</v>
      </c>
      <c r="D549" s="3" t="n">
        <v>45714</v>
      </c>
      <c r="E549" s="4" t="n">
        <v>2037.68</v>
      </c>
      <c r="F549">
        <f>Summary!$B$3-D549</f>
        <v/>
      </c>
      <c r="G549">
        <f>IF(D549&gt;Summary!$B$3,"Current",IF(F549&lt;=30,"0-30",IF(F549&lt;=60,"31-60",IF(F549&lt;=90,"61-90","90+"))))</f>
        <v/>
      </c>
    </row>
    <row r="550">
      <c r="A550" t="inlineStr">
        <is>
          <t>0009019220</t>
        </is>
      </c>
      <c r="B550" t="inlineStr">
        <is>
          <t>0000100227</t>
        </is>
      </c>
      <c r="C550" s="3" t="n">
        <v>45665</v>
      </c>
      <c r="D550" s="3" t="n">
        <v>45695</v>
      </c>
      <c r="E550" s="4" t="n">
        <v>978.4400000000001</v>
      </c>
      <c r="F550">
        <f>Summary!$B$3-D550</f>
        <v/>
      </c>
      <c r="G550">
        <f>IF(D550&gt;Summary!$B$3,"Current",IF(F550&lt;=30,"0-30",IF(F550&lt;=60,"31-60",IF(F550&lt;=90,"61-90","90+"))))</f>
        <v/>
      </c>
    </row>
    <row r="551">
      <c r="A551" t="inlineStr">
        <is>
          <t>0009019230</t>
        </is>
      </c>
      <c r="B551" t="inlineStr">
        <is>
          <t>0000100217</t>
        </is>
      </c>
      <c r="C551" s="3" t="n">
        <v>45658</v>
      </c>
      <c r="D551" s="3" t="n">
        <v>45703</v>
      </c>
      <c r="E551" s="4" t="n">
        <v>2740.57</v>
      </c>
      <c r="F551">
        <f>Summary!$B$3-D551</f>
        <v/>
      </c>
      <c r="G551">
        <f>IF(D551&gt;Summary!$B$3,"Current",IF(F551&lt;=30,"0-30",IF(F551&lt;=60,"31-60",IF(F551&lt;=90,"61-90","90+"))))</f>
        <v/>
      </c>
    </row>
    <row r="552">
      <c r="A552" t="inlineStr">
        <is>
          <t>0009019252</t>
        </is>
      </c>
      <c r="B552" t="inlineStr">
        <is>
          <t>0000100192</t>
        </is>
      </c>
      <c r="C552" s="3" t="n">
        <v>45665</v>
      </c>
      <c r="D552" s="3" t="n">
        <v>45695</v>
      </c>
      <c r="E552" s="4" t="n">
        <v>165.58</v>
      </c>
      <c r="F552">
        <f>Summary!$B$3-D552</f>
        <v/>
      </c>
      <c r="G552">
        <f>IF(D552&gt;Summary!$B$3,"Current",IF(F552&lt;=30,"0-30",IF(F552&lt;=60,"31-60",IF(F552&lt;=90,"61-90","90+"))))</f>
        <v/>
      </c>
    </row>
    <row r="553">
      <c r="A553" t="inlineStr">
        <is>
          <t>0009019267</t>
        </is>
      </c>
      <c r="B553" t="inlineStr">
        <is>
          <t>0000100204</t>
        </is>
      </c>
      <c r="C553" s="3" t="n">
        <v>45660</v>
      </c>
      <c r="D553" s="3" t="n">
        <v>45690</v>
      </c>
      <c r="E553" s="4" t="n">
        <v>1797.86</v>
      </c>
      <c r="F553">
        <f>Summary!$B$3-D553</f>
        <v/>
      </c>
      <c r="G553">
        <f>IF(D553&gt;Summary!$B$3,"Current",IF(F553&lt;=30,"0-30",IF(F553&lt;=60,"31-60",IF(F553&lt;=90,"61-90","90+"))))</f>
        <v/>
      </c>
    </row>
    <row r="554">
      <c r="A554" t="inlineStr">
        <is>
          <t>0009019269</t>
        </is>
      </c>
      <c r="B554" t="inlineStr">
        <is>
          <t>0000100200</t>
        </is>
      </c>
      <c r="C554" s="3" t="n">
        <v>45664</v>
      </c>
      <c r="D554" s="3" t="n">
        <v>45709</v>
      </c>
      <c r="E554" s="4" t="n">
        <v>194.08</v>
      </c>
      <c r="F554">
        <f>Summary!$B$3-D554</f>
        <v/>
      </c>
      <c r="G554">
        <f>IF(D554&gt;Summary!$B$3,"Current",IF(F554&lt;=30,"0-30",IF(F554&lt;=60,"31-60",IF(F554&lt;=90,"61-90","90+"))))</f>
        <v/>
      </c>
    </row>
    <row r="555">
      <c r="A555" t="inlineStr">
        <is>
          <t>0009019279</t>
        </is>
      </c>
      <c r="B555" t="inlineStr">
        <is>
          <t>0000100590</t>
        </is>
      </c>
      <c r="C555" s="3" t="n">
        <v>45666</v>
      </c>
      <c r="D555" s="3" t="n">
        <v>45696</v>
      </c>
      <c r="E555" s="4" t="n">
        <v>4024.87</v>
      </c>
      <c r="F555">
        <f>Summary!$B$3-D555</f>
        <v/>
      </c>
      <c r="G555">
        <f>IF(D555&gt;Summary!$B$3,"Current",IF(F555&lt;=30,"0-30",IF(F555&lt;=60,"31-60",IF(F555&lt;=90,"61-90","90+"))))</f>
        <v/>
      </c>
    </row>
    <row r="556">
      <c r="A556" t="inlineStr">
        <is>
          <t>0009019350</t>
        </is>
      </c>
      <c r="B556" t="inlineStr">
        <is>
          <t>0000100279</t>
        </is>
      </c>
      <c r="C556" s="3" t="n">
        <v>45669</v>
      </c>
      <c r="D556" s="3" t="n">
        <v>45714</v>
      </c>
      <c r="E556" s="4" t="n">
        <v>257.1</v>
      </c>
      <c r="F556">
        <f>Summary!$B$3-D556</f>
        <v/>
      </c>
      <c r="G556">
        <f>IF(D556&gt;Summary!$B$3,"Current",IF(F556&lt;=30,"0-30",IF(F556&lt;=60,"31-60",IF(F556&lt;=90,"61-90","90+"))))</f>
        <v/>
      </c>
    </row>
    <row r="557">
      <c r="A557" t="inlineStr">
        <is>
          <t>0009019371</t>
        </is>
      </c>
      <c r="B557" t="inlineStr">
        <is>
          <t>0000100338</t>
        </is>
      </c>
      <c r="C557" s="3" t="n">
        <v>45671</v>
      </c>
      <c r="D557" s="3" t="n">
        <v>45731</v>
      </c>
      <c r="E557" s="4" t="n">
        <v>511.17</v>
      </c>
      <c r="F557">
        <f>Summary!$B$3-D557</f>
        <v/>
      </c>
      <c r="G557">
        <f>IF(D557&gt;Summary!$B$3,"Current",IF(F557&lt;=30,"0-30",IF(F557&lt;=60,"31-60",IF(F557&lt;=90,"61-90","90+"))))</f>
        <v/>
      </c>
    </row>
    <row r="558">
      <c r="A558" t="inlineStr">
        <is>
          <t>0009019418</t>
        </is>
      </c>
      <c r="B558" t="inlineStr">
        <is>
          <t>0000100058</t>
        </is>
      </c>
      <c r="C558" s="3" t="n">
        <v>45671</v>
      </c>
      <c r="D558" s="3" t="n">
        <v>45716</v>
      </c>
      <c r="E558" s="4" t="n">
        <v>1527.2</v>
      </c>
      <c r="F558">
        <f>Summary!$B$3-D558</f>
        <v/>
      </c>
      <c r="G558">
        <f>IF(D558&gt;Summary!$B$3,"Current",IF(F558&lt;=30,"0-30",IF(F558&lt;=60,"31-60",IF(F558&lt;=90,"61-90","90+"))))</f>
        <v/>
      </c>
    </row>
    <row r="559">
      <c r="A559" t="inlineStr">
        <is>
          <t>0009019468</t>
        </is>
      </c>
      <c r="B559" t="inlineStr">
        <is>
          <t>0000100579</t>
        </is>
      </c>
      <c r="C559" s="3" t="n">
        <v>45668</v>
      </c>
      <c r="D559" s="3" t="n">
        <v>45698</v>
      </c>
      <c r="E559" s="4" t="n">
        <v>230.04</v>
      </c>
      <c r="F559">
        <f>Summary!$B$3-D559</f>
        <v/>
      </c>
      <c r="G559">
        <f>IF(D559&gt;Summary!$B$3,"Current",IF(F559&lt;=30,"0-30",IF(F559&lt;=60,"31-60",IF(F559&lt;=90,"61-90","90+"))))</f>
        <v/>
      </c>
    </row>
    <row r="560">
      <c r="A560" t="inlineStr">
        <is>
          <t>0009019501</t>
        </is>
      </c>
      <c r="B560" t="inlineStr">
        <is>
          <t>0000100415</t>
        </is>
      </c>
      <c r="C560" s="3" t="n">
        <v>45670</v>
      </c>
      <c r="D560" s="3" t="n">
        <v>45700</v>
      </c>
      <c r="E560" s="4" t="n">
        <v>256.3</v>
      </c>
      <c r="F560">
        <f>Summary!$B$3-D560</f>
        <v/>
      </c>
      <c r="G560">
        <f>IF(D560&gt;Summary!$B$3,"Current",IF(F560&lt;=30,"0-30",IF(F560&lt;=60,"31-60",IF(F560&lt;=90,"61-90","90+"))))</f>
        <v/>
      </c>
    </row>
    <row r="561">
      <c r="A561" t="inlineStr">
        <is>
          <t>0009019545</t>
        </is>
      </c>
      <c r="B561" t="inlineStr">
        <is>
          <t>0000100097</t>
        </is>
      </c>
      <c r="C561" s="3" t="n">
        <v>45672</v>
      </c>
      <c r="D561" s="3" t="n">
        <v>45717</v>
      </c>
      <c r="E561" s="4" t="n">
        <v>248.16</v>
      </c>
      <c r="F561">
        <f>Summary!$B$3-D561</f>
        <v/>
      </c>
      <c r="G561">
        <f>IF(D561&gt;Summary!$B$3,"Current",IF(F561&lt;=30,"0-30",IF(F561&lt;=60,"31-60",IF(F561&lt;=90,"61-90","90+"))))</f>
        <v/>
      </c>
    </row>
    <row r="562">
      <c r="A562" t="inlineStr">
        <is>
          <t>0009019591</t>
        </is>
      </c>
      <c r="B562" t="inlineStr">
        <is>
          <t>0000100192</t>
        </is>
      </c>
      <c r="C562" s="3" t="n">
        <v>45682</v>
      </c>
      <c r="D562" s="3" t="n">
        <v>45712</v>
      </c>
      <c r="E562" s="4" t="n">
        <v>1162.28</v>
      </c>
      <c r="F562">
        <f>Summary!$B$3-D562</f>
        <v/>
      </c>
      <c r="G562">
        <f>IF(D562&gt;Summary!$B$3,"Current",IF(F562&lt;=30,"0-30",IF(F562&lt;=60,"31-60",IF(F562&lt;=90,"61-90","90+"))))</f>
        <v/>
      </c>
    </row>
    <row r="563">
      <c r="A563" t="inlineStr">
        <is>
          <t>0009019600</t>
        </is>
      </c>
      <c r="B563" t="inlineStr">
        <is>
          <t>0000100393</t>
        </is>
      </c>
      <c r="C563" s="3" t="n">
        <v>45679</v>
      </c>
      <c r="D563" s="3" t="n">
        <v>45709</v>
      </c>
      <c r="E563" s="4" t="n">
        <v>3491.85</v>
      </c>
      <c r="F563">
        <f>Summary!$B$3-D563</f>
        <v/>
      </c>
      <c r="G563">
        <f>IF(D563&gt;Summary!$B$3,"Current",IF(F563&lt;=30,"0-30",IF(F563&lt;=60,"31-60",IF(F563&lt;=90,"61-90","90+"))))</f>
        <v/>
      </c>
    </row>
    <row r="564">
      <c r="A564" t="inlineStr">
        <is>
          <t>0009019707</t>
        </is>
      </c>
      <c r="B564" t="inlineStr">
        <is>
          <t>0000100276</t>
        </is>
      </c>
      <c r="C564" s="3" t="n">
        <v>45692</v>
      </c>
      <c r="D564" s="3" t="n">
        <v>45722</v>
      </c>
      <c r="E564" s="4" t="n">
        <v>818.54</v>
      </c>
      <c r="F564">
        <f>Summary!$B$3-D564</f>
        <v/>
      </c>
      <c r="G564">
        <f>IF(D564&gt;Summary!$B$3,"Current",IF(F564&lt;=30,"0-30",IF(F564&lt;=60,"31-60",IF(F564&lt;=90,"61-90","90+"))))</f>
        <v/>
      </c>
    </row>
    <row r="565">
      <c r="A565" t="inlineStr">
        <is>
          <t>0009019760</t>
        </is>
      </c>
      <c r="B565" t="inlineStr">
        <is>
          <t>0000100357</t>
        </is>
      </c>
      <c r="C565" s="3" t="n">
        <v>45683</v>
      </c>
      <c r="D565" s="3" t="n">
        <v>45728</v>
      </c>
      <c r="E565" s="4" t="n">
        <v>2221.14</v>
      </c>
      <c r="F565">
        <f>Summary!$B$3-D565</f>
        <v/>
      </c>
      <c r="G565">
        <f>IF(D565&gt;Summary!$B$3,"Current",IF(F565&lt;=30,"0-30",IF(F565&lt;=60,"31-60",IF(F565&lt;=90,"61-90","90+"))))</f>
        <v/>
      </c>
    </row>
    <row r="566">
      <c r="A566" t="inlineStr">
        <is>
          <t>0009019779</t>
        </is>
      </c>
      <c r="B566" t="inlineStr">
        <is>
          <t>0000100267</t>
        </is>
      </c>
      <c r="C566" s="3" t="n">
        <v>45685</v>
      </c>
      <c r="D566" s="3" t="n">
        <v>45730</v>
      </c>
      <c r="E566" s="4" t="n">
        <v>377.58</v>
      </c>
      <c r="F566">
        <f>Summary!$B$3-D566</f>
        <v/>
      </c>
      <c r="G566">
        <f>IF(D566&gt;Summary!$B$3,"Current",IF(F566&lt;=30,"0-30",IF(F566&lt;=60,"31-60",IF(F566&lt;=90,"61-90","90+"))))</f>
        <v/>
      </c>
    </row>
    <row r="567">
      <c r="A567" t="inlineStr">
        <is>
          <t>0009019930</t>
        </is>
      </c>
      <c r="B567" t="inlineStr">
        <is>
          <t>0000100074</t>
        </is>
      </c>
      <c r="C567" s="3" t="n">
        <v>45689</v>
      </c>
      <c r="D567" s="3" t="n">
        <v>45734</v>
      </c>
      <c r="E567" s="4" t="n">
        <v>661.8200000000001</v>
      </c>
      <c r="F567">
        <f>Summary!$B$3-D567</f>
        <v/>
      </c>
      <c r="G567">
        <f>IF(D567&gt;Summary!$B$3,"Current",IF(F567&lt;=30,"0-30",IF(F567&lt;=60,"31-60",IF(F567&lt;=90,"61-90","90+"))))</f>
        <v/>
      </c>
    </row>
    <row r="568">
      <c r="A568" t="inlineStr">
        <is>
          <t>0009019959</t>
        </is>
      </c>
      <c r="B568" t="inlineStr">
        <is>
          <t>0000100293</t>
        </is>
      </c>
      <c r="C568" s="3" t="n">
        <v>45696</v>
      </c>
      <c r="D568" s="3" t="n">
        <v>45726</v>
      </c>
      <c r="E568" s="4" t="n">
        <v>1920.94</v>
      </c>
      <c r="F568">
        <f>Summary!$B$3-D568</f>
        <v/>
      </c>
      <c r="G568">
        <f>IF(D568&gt;Summary!$B$3,"Current",IF(F568&lt;=30,"0-30",IF(F568&lt;=60,"31-60",IF(F568&lt;=90,"61-90","90+"))))</f>
        <v/>
      </c>
    </row>
    <row r="569">
      <c r="A569" t="inlineStr">
        <is>
          <t>0009020050</t>
        </is>
      </c>
      <c r="B569" t="inlineStr">
        <is>
          <t>0000100362</t>
        </is>
      </c>
      <c r="C569" s="3" t="n">
        <v>45695</v>
      </c>
      <c r="D569" s="3" t="n">
        <v>45725</v>
      </c>
      <c r="E569" s="4" t="n">
        <v>1336.93</v>
      </c>
      <c r="F569">
        <f>Summary!$B$3-D569</f>
        <v/>
      </c>
      <c r="G569">
        <f>IF(D569&gt;Summary!$B$3,"Current",IF(F569&lt;=30,"0-30",IF(F569&lt;=60,"31-60",IF(F569&lt;=90,"61-90","90+"))))</f>
        <v/>
      </c>
    </row>
    <row r="570">
      <c r="A570" t="inlineStr">
        <is>
          <t>0009020088</t>
        </is>
      </c>
      <c r="B570" t="inlineStr">
        <is>
          <t>0000100312</t>
        </is>
      </c>
      <c r="C570" s="3" t="n">
        <v>45696</v>
      </c>
      <c r="D570" s="3" t="n">
        <v>45756</v>
      </c>
      <c r="E570" s="4" t="n">
        <v>1332.44</v>
      </c>
      <c r="F570">
        <f>Summary!$B$3-D570</f>
        <v/>
      </c>
      <c r="G570">
        <f>IF(D570&gt;Summary!$B$3,"Current",IF(F570&lt;=30,"0-30",IF(F570&lt;=60,"31-60",IF(F570&lt;=90,"61-90","90+"))))</f>
        <v/>
      </c>
    </row>
    <row r="571">
      <c r="A571" t="inlineStr">
        <is>
          <t>0009020090</t>
        </is>
      </c>
      <c r="B571" t="inlineStr">
        <is>
          <t>0000100052</t>
        </is>
      </c>
      <c r="C571" s="3" t="n">
        <v>45697</v>
      </c>
      <c r="D571" s="3" t="n">
        <v>45742</v>
      </c>
      <c r="E571" s="4" t="n">
        <v>603.27</v>
      </c>
      <c r="F571">
        <f>Summary!$B$3-D571</f>
        <v/>
      </c>
      <c r="G571">
        <f>IF(D571&gt;Summary!$B$3,"Current",IF(F571&lt;=30,"0-30",IF(F571&lt;=60,"31-60",IF(F571&lt;=90,"61-90","90+"))))</f>
        <v/>
      </c>
    </row>
    <row r="572">
      <c r="A572" t="inlineStr">
        <is>
          <t>0009020101</t>
        </is>
      </c>
      <c r="B572" t="inlineStr">
        <is>
          <t>0000100219</t>
        </is>
      </c>
      <c r="C572" s="3" t="n">
        <v>45698</v>
      </c>
      <c r="D572" s="3" t="n">
        <v>45728</v>
      </c>
      <c r="E572" s="4" t="n">
        <v>1710.83</v>
      </c>
      <c r="F572">
        <f>Summary!$B$3-D572</f>
        <v/>
      </c>
      <c r="G572">
        <f>IF(D572&gt;Summary!$B$3,"Current",IF(F572&lt;=30,"0-30",IF(F572&lt;=60,"31-60",IF(F572&lt;=90,"61-90","90+"))))</f>
        <v/>
      </c>
    </row>
    <row r="573">
      <c r="A573" t="inlineStr">
        <is>
          <t>0009020189</t>
        </is>
      </c>
      <c r="B573" t="inlineStr">
        <is>
          <t>0000100304</t>
        </is>
      </c>
      <c r="C573" s="3" t="n">
        <v>45698</v>
      </c>
      <c r="D573" s="3" t="n">
        <v>45758</v>
      </c>
      <c r="E573" s="4" t="n">
        <v>392.02</v>
      </c>
      <c r="F573">
        <f>Summary!$B$3-D573</f>
        <v/>
      </c>
      <c r="G573">
        <f>IF(D573&gt;Summary!$B$3,"Current",IF(F573&lt;=30,"0-30",IF(F573&lt;=60,"31-60",IF(F573&lt;=90,"61-90","90+"))))</f>
        <v/>
      </c>
    </row>
    <row r="574">
      <c r="A574" t="inlineStr">
        <is>
          <t>0009020235</t>
        </is>
      </c>
      <c r="B574" t="inlineStr">
        <is>
          <t>0000100534</t>
        </is>
      </c>
      <c r="C574" s="3" t="n">
        <v>45699</v>
      </c>
      <c r="D574" s="3" t="n">
        <v>45759</v>
      </c>
      <c r="E574" s="4" t="n">
        <v>1058.86</v>
      </c>
      <c r="F574">
        <f>Summary!$B$3-D574</f>
        <v/>
      </c>
      <c r="G574">
        <f>IF(D574&gt;Summary!$B$3,"Current",IF(F574&lt;=30,"0-30",IF(F574&lt;=60,"31-60",IF(F574&lt;=90,"61-90","90+"))))</f>
        <v/>
      </c>
    </row>
    <row r="575">
      <c r="A575" t="inlineStr">
        <is>
          <t>0009020276</t>
        </is>
      </c>
      <c r="B575" t="inlineStr">
        <is>
          <t>0000100202</t>
        </is>
      </c>
      <c r="C575" s="3" t="n">
        <v>45704</v>
      </c>
      <c r="D575" s="3" t="n">
        <v>45764</v>
      </c>
      <c r="E575" s="4" t="n">
        <v>1272.42</v>
      </c>
      <c r="F575">
        <f>Summary!$B$3-D575</f>
        <v/>
      </c>
      <c r="G575">
        <f>IF(D575&gt;Summary!$B$3,"Current",IF(F575&lt;=30,"0-30",IF(F575&lt;=60,"31-60",IF(F575&lt;=90,"61-90","90+"))))</f>
        <v/>
      </c>
    </row>
    <row r="576">
      <c r="A576" t="inlineStr">
        <is>
          <t>0009020328</t>
        </is>
      </c>
      <c r="B576" t="inlineStr">
        <is>
          <t>0000100014</t>
        </is>
      </c>
      <c r="C576" s="3" t="n">
        <v>45704</v>
      </c>
      <c r="D576" s="3" t="n">
        <v>45734</v>
      </c>
      <c r="E576" s="4" t="n">
        <v>391.77</v>
      </c>
      <c r="F576">
        <f>Summary!$B$3-D576</f>
        <v/>
      </c>
      <c r="G576">
        <f>IF(D576&gt;Summary!$B$3,"Current",IF(F576&lt;=30,"0-30",IF(F576&lt;=60,"31-60",IF(F576&lt;=90,"61-90","90+"))))</f>
        <v/>
      </c>
    </row>
    <row r="577">
      <c r="A577" t="inlineStr">
        <is>
          <t>0009020379</t>
        </is>
      </c>
      <c r="B577" t="inlineStr">
        <is>
          <t>0000100304</t>
        </is>
      </c>
      <c r="C577" s="3" t="n">
        <v>45715</v>
      </c>
      <c r="D577" s="3" t="n">
        <v>45775</v>
      </c>
      <c r="E577" s="4" t="n">
        <v>63.34</v>
      </c>
      <c r="F577">
        <f>Summary!$B$3-D577</f>
        <v/>
      </c>
      <c r="G577">
        <f>IF(D577&gt;Summary!$B$3,"Current",IF(F577&lt;=30,"0-30",IF(F577&lt;=60,"31-60",IF(F577&lt;=90,"61-90","90+"))))</f>
        <v/>
      </c>
    </row>
    <row r="578">
      <c r="A578" t="inlineStr">
        <is>
          <t>0009020382</t>
        </is>
      </c>
      <c r="B578" t="inlineStr">
        <is>
          <t>0000100525</t>
        </is>
      </c>
      <c r="C578" s="3" t="n">
        <v>45709</v>
      </c>
      <c r="D578" s="3" t="n">
        <v>45754</v>
      </c>
      <c r="E578" s="4" t="n">
        <v>667.35</v>
      </c>
      <c r="F578">
        <f>Summary!$B$3-D578</f>
        <v/>
      </c>
      <c r="G578">
        <f>IF(D578&gt;Summary!$B$3,"Current",IF(F578&lt;=30,"0-30",IF(F578&lt;=60,"31-60",IF(F578&lt;=90,"61-90","90+"))))</f>
        <v/>
      </c>
    </row>
    <row r="579">
      <c r="A579" t="inlineStr">
        <is>
          <t>0009020416</t>
        </is>
      </c>
      <c r="B579" t="inlineStr">
        <is>
          <t>0000100550</t>
        </is>
      </c>
      <c r="C579" s="3" t="n">
        <v>45711</v>
      </c>
      <c r="D579" s="3" t="n">
        <v>45741</v>
      </c>
      <c r="E579" s="4" t="n">
        <v>555.04</v>
      </c>
      <c r="F579">
        <f>Summary!$B$3-D579</f>
        <v/>
      </c>
      <c r="G579">
        <f>IF(D579&gt;Summary!$B$3,"Current",IF(F579&lt;=30,"0-30",IF(F579&lt;=60,"31-60",IF(F579&lt;=90,"61-90","90+"))))</f>
        <v/>
      </c>
    </row>
    <row r="580">
      <c r="A580" t="inlineStr">
        <is>
          <t>0009020434</t>
        </is>
      </c>
      <c r="B580" t="inlineStr">
        <is>
          <t>0000100354</t>
        </is>
      </c>
      <c r="C580" s="3" t="n">
        <v>45714</v>
      </c>
      <c r="D580" s="3" t="n">
        <v>45774</v>
      </c>
      <c r="E580" s="4" t="n">
        <v>1775.3</v>
      </c>
      <c r="F580">
        <f>Summary!$B$3-D580</f>
        <v/>
      </c>
      <c r="G580">
        <f>IF(D580&gt;Summary!$B$3,"Current",IF(F580&lt;=30,"0-30",IF(F580&lt;=60,"31-60",IF(F580&lt;=90,"61-90","90+"))))</f>
        <v/>
      </c>
    </row>
    <row r="581">
      <c r="A581" t="inlineStr">
        <is>
          <t>0009020505</t>
        </is>
      </c>
      <c r="B581" t="inlineStr">
        <is>
          <t>0000100444</t>
        </is>
      </c>
      <c r="C581" s="3" t="n">
        <v>45711</v>
      </c>
      <c r="D581" s="3" t="n">
        <v>45741</v>
      </c>
      <c r="E581" s="4" t="n">
        <v>996.24</v>
      </c>
      <c r="F581">
        <f>Summary!$B$3-D581</f>
        <v/>
      </c>
      <c r="G581">
        <f>IF(D581&gt;Summary!$B$3,"Current",IF(F581&lt;=30,"0-30",IF(F581&lt;=60,"31-60",IF(F581&lt;=90,"61-90","90+"))))</f>
        <v/>
      </c>
    </row>
    <row r="582">
      <c r="A582" t="inlineStr">
        <is>
          <t>0009020536</t>
        </is>
      </c>
      <c r="B582" t="inlineStr">
        <is>
          <t>0000100386</t>
        </is>
      </c>
      <c r="C582" s="3" t="n">
        <v>45716</v>
      </c>
      <c r="D582" s="3" t="n">
        <v>45746</v>
      </c>
      <c r="E582" s="4" t="n">
        <v>175.47</v>
      </c>
      <c r="F582">
        <f>Summary!$B$3-D582</f>
        <v/>
      </c>
      <c r="G582">
        <f>IF(D582&gt;Summary!$B$3,"Current",IF(F582&lt;=30,"0-30",IF(F582&lt;=60,"31-60",IF(F582&lt;=90,"61-90","90+"))))</f>
        <v/>
      </c>
    </row>
    <row r="583">
      <c r="A583" t="inlineStr">
        <is>
          <t>0009020589</t>
        </is>
      </c>
      <c r="B583" t="inlineStr">
        <is>
          <t>0000100125</t>
        </is>
      </c>
      <c r="C583" s="3" t="n">
        <v>45720</v>
      </c>
      <c r="D583" s="3" t="n">
        <v>45750</v>
      </c>
      <c r="E583" s="4" t="n">
        <v>1085.42</v>
      </c>
      <c r="F583">
        <f>Summary!$B$3-D583</f>
        <v/>
      </c>
      <c r="G583">
        <f>IF(D583&gt;Summary!$B$3,"Current",IF(F583&lt;=30,"0-30",IF(F583&lt;=60,"31-60",IF(F583&lt;=90,"61-90","90+"))))</f>
        <v/>
      </c>
    </row>
    <row r="584">
      <c r="A584" t="inlineStr">
        <is>
          <t>0009020604</t>
        </is>
      </c>
      <c r="B584" t="inlineStr">
        <is>
          <t>0000100441</t>
        </is>
      </c>
      <c r="C584" s="3" t="n">
        <v>45717</v>
      </c>
      <c r="D584" s="3" t="n">
        <v>45762</v>
      </c>
      <c r="E584" s="4" t="n">
        <v>280.26</v>
      </c>
      <c r="F584">
        <f>Summary!$B$3-D584</f>
        <v/>
      </c>
      <c r="G584">
        <f>IF(D584&gt;Summary!$B$3,"Current",IF(F584&lt;=30,"0-30",IF(F584&lt;=60,"31-60",IF(F584&lt;=90,"61-90","90+"))))</f>
        <v/>
      </c>
    </row>
    <row r="585">
      <c r="A585" t="inlineStr">
        <is>
          <t>0009020628</t>
        </is>
      </c>
      <c r="B585" t="inlineStr">
        <is>
          <t>0000100219</t>
        </is>
      </c>
      <c r="C585" s="3" t="n">
        <v>45714</v>
      </c>
      <c r="D585" s="3" t="n">
        <v>45744</v>
      </c>
      <c r="E585" s="4" t="n">
        <v>191.48</v>
      </c>
      <c r="F585">
        <f>Summary!$B$3-D585</f>
        <v/>
      </c>
      <c r="G585">
        <f>IF(D585&gt;Summary!$B$3,"Current",IF(F585&lt;=30,"0-30",IF(F585&lt;=60,"31-60",IF(F585&lt;=90,"61-90","90+"))))</f>
        <v/>
      </c>
    </row>
    <row r="586">
      <c r="A586" t="inlineStr">
        <is>
          <t>0009020725</t>
        </is>
      </c>
      <c r="B586" t="inlineStr">
        <is>
          <t>0000100324</t>
        </is>
      </c>
      <c r="C586" s="3" t="n">
        <v>45720</v>
      </c>
      <c r="D586" s="3" t="n">
        <v>45750</v>
      </c>
      <c r="E586" s="4" t="n">
        <v>3874.02</v>
      </c>
      <c r="F586">
        <f>Summary!$B$3-D586</f>
        <v/>
      </c>
      <c r="G586">
        <f>IF(D586&gt;Summary!$B$3,"Current",IF(F586&lt;=30,"0-30",IF(F586&lt;=60,"31-60",IF(F586&lt;=90,"61-90","90+"))))</f>
        <v/>
      </c>
    </row>
    <row r="587">
      <c r="A587" t="inlineStr">
        <is>
          <t>0009020732</t>
        </is>
      </c>
      <c r="B587" t="inlineStr">
        <is>
          <t>0000100204</t>
        </is>
      </c>
      <c r="C587" s="3" t="n">
        <v>45719</v>
      </c>
      <c r="D587" s="3" t="n">
        <v>45749</v>
      </c>
      <c r="E587" s="4" t="n">
        <v>317.59</v>
      </c>
      <c r="F587">
        <f>Summary!$B$3-D587</f>
        <v/>
      </c>
      <c r="G587">
        <f>IF(D587&gt;Summary!$B$3,"Current",IF(F587&lt;=30,"0-30",IF(F587&lt;=60,"31-60",IF(F587&lt;=90,"61-90","90+"))))</f>
        <v/>
      </c>
    </row>
    <row r="588">
      <c r="A588" t="inlineStr">
        <is>
          <t>0009020752</t>
        </is>
      </c>
      <c r="B588" t="inlineStr">
        <is>
          <t>0000100484</t>
        </is>
      </c>
      <c r="C588" s="3" t="n">
        <v>45724</v>
      </c>
      <c r="D588" s="3" t="n">
        <v>45784</v>
      </c>
      <c r="E588" s="4" t="n">
        <v>600.01</v>
      </c>
      <c r="F588">
        <f>Summary!$B$3-D588</f>
        <v/>
      </c>
      <c r="G588">
        <f>IF(D588&gt;Summary!$B$3,"Current",IF(F588&lt;=30,"0-30",IF(F588&lt;=60,"31-60",IF(F588&lt;=90,"61-90","90+"))))</f>
        <v/>
      </c>
    </row>
    <row r="589">
      <c r="A589" t="inlineStr">
        <is>
          <t>0009020762</t>
        </is>
      </c>
      <c r="B589" t="inlineStr">
        <is>
          <t>0000100493</t>
        </is>
      </c>
      <c r="C589" s="3" t="n">
        <v>45728</v>
      </c>
      <c r="D589" s="3" t="n">
        <v>45758</v>
      </c>
      <c r="E589" s="4" t="n">
        <v>414.06</v>
      </c>
      <c r="F589">
        <f>Summary!$B$3-D589</f>
        <v/>
      </c>
      <c r="G589">
        <f>IF(D589&gt;Summary!$B$3,"Current",IF(F589&lt;=30,"0-30",IF(F589&lt;=60,"31-60",IF(F589&lt;=90,"61-90","90+"))))</f>
        <v/>
      </c>
    </row>
    <row r="590">
      <c r="A590" t="inlineStr">
        <is>
          <t>0009020771</t>
        </is>
      </c>
      <c r="B590" t="inlineStr">
        <is>
          <t>0000100441</t>
        </is>
      </c>
      <c r="C590" s="3" t="n">
        <v>45727</v>
      </c>
      <c r="D590" s="3" t="n">
        <v>45772</v>
      </c>
      <c r="E590" s="4" t="n">
        <v>587.3</v>
      </c>
      <c r="F590">
        <f>Summary!$B$3-D590</f>
        <v/>
      </c>
      <c r="G590">
        <f>IF(D590&gt;Summary!$B$3,"Current",IF(F590&lt;=30,"0-30",IF(F590&lt;=60,"31-60",IF(F590&lt;=90,"61-90","90+"))))</f>
        <v/>
      </c>
    </row>
    <row r="591">
      <c r="A591" t="inlineStr">
        <is>
          <t>0009020779</t>
        </is>
      </c>
      <c r="B591" t="inlineStr">
        <is>
          <t>0000100525</t>
        </is>
      </c>
      <c r="C591" s="3" t="n">
        <v>45722</v>
      </c>
      <c r="D591" s="3" t="n">
        <v>45767</v>
      </c>
      <c r="E591" s="4" t="n">
        <v>1150.96</v>
      </c>
      <c r="F591">
        <f>Summary!$B$3-D591</f>
        <v/>
      </c>
      <c r="G591">
        <f>IF(D591&gt;Summary!$B$3,"Current",IF(F591&lt;=30,"0-30",IF(F591&lt;=60,"31-60",IF(F591&lt;=90,"61-90","90+"))))</f>
        <v/>
      </c>
    </row>
    <row r="592">
      <c r="A592" t="inlineStr">
        <is>
          <t>0009020887</t>
        </is>
      </c>
      <c r="B592" t="inlineStr">
        <is>
          <t>0000100102</t>
        </is>
      </c>
      <c r="C592" s="3" t="n">
        <v>45729</v>
      </c>
      <c r="D592" s="3" t="n">
        <v>45759</v>
      </c>
      <c r="E592" s="4" t="n">
        <v>433.52</v>
      </c>
      <c r="F592">
        <f>Summary!$B$3-D592</f>
        <v/>
      </c>
      <c r="G592">
        <f>IF(D592&gt;Summary!$B$3,"Current",IF(F592&lt;=30,"0-30",IF(F592&lt;=60,"31-60",IF(F592&lt;=90,"61-90","90+"))))</f>
        <v/>
      </c>
    </row>
    <row r="593">
      <c r="A593" t="inlineStr">
        <is>
          <t>0009020895</t>
        </is>
      </c>
      <c r="B593" t="inlineStr">
        <is>
          <t>0000100004</t>
        </is>
      </c>
      <c r="C593" s="3" t="n">
        <v>45723</v>
      </c>
      <c r="D593" s="3" t="n">
        <v>45783</v>
      </c>
      <c r="E593" s="4" t="n">
        <v>234.4</v>
      </c>
      <c r="F593">
        <f>Summary!$B$3-D593</f>
        <v/>
      </c>
      <c r="G593">
        <f>IF(D593&gt;Summary!$B$3,"Current",IF(F593&lt;=30,"0-30",IF(F593&lt;=60,"31-60",IF(F593&lt;=90,"61-90","90+"))))</f>
        <v/>
      </c>
    </row>
    <row r="594">
      <c r="A594" t="inlineStr">
        <is>
          <t>0009020955</t>
        </is>
      </c>
      <c r="B594" t="inlineStr">
        <is>
          <t>0000100557</t>
        </is>
      </c>
      <c r="C594" s="3" t="n">
        <v>45727</v>
      </c>
      <c r="D594" s="3" t="n">
        <v>45757</v>
      </c>
      <c r="E594" s="4" t="n">
        <v>746.97</v>
      </c>
      <c r="F594">
        <f>Summary!$B$3-D594</f>
        <v/>
      </c>
      <c r="G594">
        <f>IF(D594&gt;Summary!$B$3,"Current",IF(F594&lt;=30,"0-30",IF(F594&lt;=60,"31-60",IF(F594&lt;=90,"61-90","90+"))))</f>
        <v/>
      </c>
    </row>
    <row r="595">
      <c r="A595" t="inlineStr">
        <is>
          <t>0009021007</t>
        </is>
      </c>
      <c r="B595" t="inlineStr">
        <is>
          <t>0000100325</t>
        </is>
      </c>
      <c r="C595" s="3" t="n">
        <v>45732</v>
      </c>
      <c r="D595" s="3" t="n">
        <v>45762</v>
      </c>
      <c r="E595" s="4" t="n">
        <v>125.92</v>
      </c>
      <c r="F595">
        <f>Summary!$B$3-D595</f>
        <v/>
      </c>
      <c r="G595">
        <f>IF(D595&gt;Summary!$B$3,"Current",IF(F595&lt;=30,"0-30",IF(F595&lt;=60,"31-60",IF(F595&lt;=90,"61-90","90+"))))</f>
        <v/>
      </c>
    </row>
    <row r="596">
      <c r="A596" t="inlineStr">
        <is>
          <t>0009021119</t>
        </is>
      </c>
      <c r="B596" t="inlineStr">
        <is>
          <t>0000100581</t>
        </is>
      </c>
      <c r="C596" s="3" t="n">
        <v>45736</v>
      </c>
      <c r="D596" s="3" t="n">
        <v>45766</v>
      </c>
      <c r="E596" s="4" t="n">
        <v>816.22</v>
      </c>
      <c r="F596">
        <f>Summary!$B$3-D596</f>
        <v/>
      </c>
      <c r="G596">
        <f>IF(D596&gt;Summary!$B$3,"Current",IF(F596&lt;=30,"0-30",IF(F596&lt;=60,"31-60",IF(F596&lt;=90,"61-90","90+"))))</f>
        <v/>
      </c>
    </row>
    <row r="597">
      <c r="A597" t="inlineStr">
        <is>
          <t>0009021134</t>
        </is>
      </c>
      <c r="B597" t="inlineStr">
        <is>
          <t>0000100185</t>
        </is>
      </c>
      <c r="C597" s="3" t="n">
        <v>45737</v>
      </c>
      <c r="D597" s="3" t="n">
        <v>45767</v>
      </c>
      <c r="E597" s="4" t="n">
        <v>446.22</v>
      </c>
      <c r="F597">
        <f>Summary!$B$3-D597</f>
        <v/>
      </c>
      <c r="G597">
        <f>IF(D597&gt;Summary!$B$3,"Current",IF(F597&lt;=30,"0-30",IF(F597&lt;=60,"31-60",IF(F597&lt;=90,"61-90","90+"))))</f>
        <v/>
      </c>
    </row>
    <row r="598">
      <c r="A598" t="inlineStr">
        <is>
          <t>0009021145</t>
        </is>
      </c>
      <c r="B598" t="inlineStr">
        <is>
          <t>0000100377</t>
        </is>
      </c>
      <c r="C598" s="3" t="n">
        <v>45732</v>
      </c>
      <c r="D598" s="3" t="n">
        <v>45762</v>
      </c>
      <c r="E598" s="4" t="n">
        <v>485.74</v>
      </c>
      <c r="F598">
        <f>Summary!$B$3-D598</f>
        <v/>
      </c>
      <c r="G598">
        <f>IF(D598&gt;Summary!$B$3,"Current",IF(F598&lt;=30,"0-30",IF(F598&lt;=60,"31-60",IF(F598&lt;=90,"61-90","90+"))))</f>
        <v/>
      </c>
    </row>
    <row r="599">
      <c r="A599" t="inlineStr">
        <is>
          <t>0009021152</t>
        </is>
      </c>
      <c r="B599" t="inlineStr">
        <is>
          <t>0000100285</t>
        </is>
      </c>
      <c r="C599" s="3" t="n">
        <v>45734</v>
      </c>
      <c r="D599" s="3" t="n">
        <v>45764</v>
      </c>
      <c r="E599" s="4" t="n">
        <v>166.62</v>
      </c>
      <c r="F599">
        <f>Summary!$B$3-D599</f>
        <v/>
      </c>
      <c r="G599">
        <f>IF(D599&gt;Summary!$B$3,"Current",IF(F599&lt;=30,"0-30",IF(F599&lt;=60,"31-60",IF(F599&lt;=90,"61-90","90+"))))</f>
        <v/>
      </c>
    </row>
    <row r="600">
      <c r="A600" t="inlineStr">
        <is>
          <t>0009021181</t>
        </is>
      </c>
      <c r="B600" t="inlineStr">
        <is>
          <t>0000100201</t>
        </is>
      </c>
      <c r="C600" s="3" t="n">
        <v>45736</v>
      </c>
      <c r="D600" s="3" t="n">
        <v>45766</v>
      </c>
      <c r="E600" s="4" t="n">
        <v>1609.78</v>
      </c>
      <c r="F600">
        <f>Summary!$B$3-D600</f>
        <v/>
      </c>
      <c r="G600">
        <f>IF(D600&gt;Summary!$B$3,"Current",IF(F600&lt;=30,"0-30",IF(F600&lt;=60,"31-60",IF(F600&lt;=90,"61-90","90+"))))</f>
        <v/>
      </c>
    </row>
    <row r="601">
      <c r="A601" t="inlineStr">
        <is>
          <t>0009021198</t>
        </is>
      </c>
      <c r="B601" t="inlineStr">
        <is>
          <t>0000100127</t>
        </is>
      </c>
      <c r="C601" s="3" t="n">
        <v>45738</v>
      </c>
      <c r="D601" s="3" t="n">
        <v>45768</v>
      </c>
      <c r="E601" s="4" t="n">
        <v>4890.58</v>
      </c>
      <c r="F601">
        <f>Summary!$B$3-D601</f>
        <v/>
      </c>
      <c r="G601">
        <f>IF(D601&gt;Summary!$B$3,"Current",IF(F601&lt;=30,"0-30",IF(F601&lt;=60,"31-60",IF(F601&lt;=90,"61-90","90+"))))</f>
        <v/>
      </c>
    </row>
    <row r="602">
      <c r="A602" t="inlineStr">
        <is>
          <t>0009021207</t>
        </is>
      </c>
      <c r="B602" t="inlineStr">
        <is>
          <t>0000100274</t>
        </is>
      </c>
      <c r="C602" s="3" t="n">
        <v>45742</v>
      </c>
      <c r="D602" s="3" t="n">
        <v>45787</v>
      </c>
      <c r="E602" s="4" t="n">
        <v>1057.2</v>
      </c>
      <c r="F602">
        <f>Summary!$B$3-D602</f>
        <v/>
      </c>
      <c r="G602">
        <f>IF(D602&gt;Summary!$B$3,"Current",IF(F602&lt;=30,"0-30",IF(F602&lt;=60,"31-60",IF(F602&lt;=90,"61-90","90+"))))</f>
        <v/>
      </c>
    </row>
    <row r="603">
      <c r="A603" t="inlineStr">
        <is>
          <t>0009021242</t>
        </is>
      </c>
      <c r="B603" t="inlineStr">
        <is>
          <t>0000100586</t>
        </is>
      </c>
      <c r="C603" s="3" t="n">
        <v>45741</v>
      </c>
      <c r="D603" s="3" t="n">
        <v>45771</v>
      </c>
      <c r="E603" s="4" t="n">
        <v>450.99</v>
      </c>
      <c r="F603">
        <f>Summary!$B$3-D603</f>
        <v/>
      </c>
      <c r="G603">
        <f>IF(D603&gt;Summary!$B$3,"Current",IF(F603&lt;=30,"0-30",IF(F603&lt;=60,"31-60",IF(F603&lt;=90,"61-90","90+"))))</f>
        <v/>
      </c>
    </row>
    <row r="604">
      <c r="A604" t="inlineStr">
        <is>
          <t>0009021287</t>
        </is>
      </c>
      <c r="B604" t="inlineStr">
        <is>
          <t>0000100158</t>
        </is>
      </c>
      <c r="C604" s="3" t="n">
        <v>45745</v>
      </c>
      <c r="D604" s="3" t="n">
        <v>45775</v>
      </c>
      <c r="E604" s="4" t="n">
        <v>514.91</v>
      </c>
      <c r="F604">
        <f>Summary!$B$3-D604</f>
        <v/>
      </c>
      <c r="G604">
        <f>IF(D604&gt;Summary!$B$3,"Current",IF(F604&lt;=30,"0-30",IF(F604&lt;=60,"31-60",IF(F604&lt;=90,"61-90","90+"))))</f>
        <v/>
      </c>
    </row>
    <row r="605">
      <c r="A605" t="inlineStr">
        <is>
          <t>0009021290</t>
        </is>
      </c>
      <c r="B605" t="inlineStr">
        <is>
          <t>0000100412</t>
        </is>
      </c>
      <c r="C605" s="3" t="n">
        <v>45740</v>
      </c>
      <c r="D605" s="3" t="n">
        <v>45770</v>
      </c>
      <c r="E605" s="4" t="n">
        <v>2025.63</v>
      </c>
      <c r="F605">
        <f>Summary!$B$3-D605</f>
        <v/>
      </c>
      <c r="G605">
        <f>IF(D605&gt;Summary!$B$3,"Current",IF(F605&lt;=30,"0-30",IF(F605&lt;=60,"31-60",IF(F605&lt;=90,"61-90","90+"))))</f>
        <v/>
      </c>
    </row>
    <row r="606">
      <c r="A606" t="inlineStr">
        <is>
          <t>0009021310</t>
        </is>
      </c>
      <c r="B606" t="inlineStr">
        <is>
          <t>0000100587</t>
        </is>
      </c>
      <c r="C606" s="3" t="n">
        <v>45740</v>
      </c>
      <c r="D606" s="3" t="n">
        <v>45800</v>
      </c>
      <c r="E606" s="4" t="n">
        <v>1103.93</v>
      </c>
      <c r="F606">
        <f>Summary!$B$3-D606</f>
        <v/>
      </c>
      <c r="G606">
        <f>IF(D606&gt;Summary!$B$3,"Current",IF(F606&lt;=30,"0-30",IF(F606&lt;=60,"31-60",IF(F606&lt;=90,"61-90","90+"))))</f>
        <v/>
      </c>
    </row>
    <row r="607">
      <c r="A607" t="inlineStr">
        <is>
          <t>0009021313</t>
        </is>
      </c>
      <c r="B607" t="inlineStr">
        <is>
          <t>0000100040</t>
        </is>
      </c>
      <c r="C607" s="3" t="n">
        <v>45738</v>
      </c>
      <c r="D607" s="3" t="n">
        <v>45783</v>
      </c>
      <c r="E607" s="4" t="n">
        <v>754.52</v>
      </c>
      <c r="F607">
        <f>Summary!$B$3-D607</f>
        <v/>
      </c>
      <c r="G607">
        <f>IF(D607&gt;Summary!$B$3,"Current",IF(F607&lt;=30,"0-30",IF(F607&lt;=60,"31-60",IF(F607&lt;=90,"61-90","90+"))))</f>
        <v/>
      </c>
    </row>
    <row r="608">
      <c r="A608" t="inlineStr">
        <is>
          <t>0009021316</t>
        </is>
      </c>
      <c r="B608" t="inlineStr">
        <is>
          <t>0000100355</t>
        </is>
      </c>
      <c r="C608" s="3" t="n">
        <v>45747</v>
      </c>
      <c r="D608" s="3" t="n">
        <v>45807</v>
      </c>
      <c r="E608" s="4" t="n">
        <v>258.93</v>
      </c>
      <c r="F608">
        <f>Summary!$B$3-D608</f>
        <v/>
      </c>
      <c r="G608">
        <f>IF(D608&gt;Summary!$B$3,"Current",IF(F608&lt;=30,"0-30",IF(F608&lt;=60,"31-60",IF(F608&lt;=90,"61-90","90+"))))</f>
        <v/>
      </c>
    </row>
    <row r="609">
      <c r="A609" t="inlineStr">
        <is>
          <t>0009021355</t>
        </is>
      </c>
      <c r="B609" t="inlineStr">
        <is>
          <t>0000100355</t>
        </is>
      </c>
      <c r="C609" s="3" t="n">
        <v>45746</v>
      </c>
      <c r="D609" s="3" t="n">
        <v>45806</v>
      </c>
      <c r="E609" s="4" t="n">
        <v>1002.34</v>
      </c>
      <c r="F609">
        <f>Summary!$B$3-D609</f>
        <v/>
      </c>
      <c r="G609">
        <f>IF(D609&gt;Summary!$B$3,"Current",IF(F609&lt;=30,"0-30",IF(F609&lt;=60,"31-60",IF(F609&lt;=90,"61-90","90+"))))</f>
        <v/>
      </c>
    </row>
    <row r="610">
      <c r="A610" t="inlineStr">
        <is>
          <t>0009021364</t>
        </is>
      </c>
      <c r="B610" t="inlineStr">
        <is>
          <t>0000100145</t>
        </is>
      </c>
      <c r="C610" s="3" t="n">
        <v>45742</v>
      </c>
      <c r="D610" s="3" t="n">
        <v>45772</v>
      </c>
      <c r="E610" s="4" t="n">
        <v>502.54</v>
      </c>
      <c r="F610">
        <f>Summary!$B$3-D610</f>
        <v/>
      </c>
      <c r="G610">
        <f>IF(D610&gt;Summary!$B$3,"Current",IF(F610&lt;=30,"0-30",IF(F610&lt;=60,"31-60",IF(F610&lt;=90,"61-90","90+"))))</f>
        <v/>
      </c>
    </row>
    <row r="611">
      <c r="A611" t="inlineStr">
        <is>
          <t>0009021406</t>
        </is>
      </c>
      <c r="B611" t="inlineStr">
        <is>
          <t>0000100274</t>
        </is>
      </c>
      <c r="C611" s="3" t="n">
        <v>45745</v>
      </c>
      <c r="D611" s="3" t="n">
        <v>45790</v>
      </c>
      <c r="E611" s="4" t="n">
        <v>785.1900000000001</v>
      </c>
      <c r="F611">
        <f>Summary!$B$3-D611</f>
        <v/>
      </c>
      <c r="G611">
        <f>IF(D611&gt;Summary!$B$3,"Current",IF(F611&lt;=30,"0-30",IF(F611&lt;=60,"31-60",IF(F611&lt;=90,"61-90","90+"))))</f>
        <v/>
      </c>
    </row>
    <row r="612">
      <c r="A612" t="inlineStr">
        <is>
          <t>0009021407</t>
        </is>
      </c>
      <c r="B612" t="inlineStr">
        <is>
          <t>0000100285</t>
        </is>
      </c>
      <c r="C612" s="3" t="n">
        <v>45750</v>
      </c>
      <c r="D612" s="3" t="n">
        <v>45780</v>
      </c>
      <c r="E612" s="4" t="n">
        <v>123.02</v>
      </c>
      <c r="F612">
        <f>Summary!$B$3-D612</f>
        <v/>
      </c>
      <c r="G612">
        <f>IF(D612&gt;Summary!$B$3,"Current",IF(F612&lt;=30,"0-30",IF(F612&lt;=60,"31-60",IF(F612&lt;=90,"61-90","90+"))))</f>
        <v/>
      </c>
    </row>
    <row r="613">
      <c r="A613" t="inlineStr">
        <is>
          <t>0009021493</t>
        </is>
      </c>
      <c r="B613" t="inlineStr">
        <is>
          <t>0000100449</t>
        </is>
      </c>
      <c r="C613" s="3" t="n">
        <v>45751</v>
      </c>
      <c r="D613" s="3" t="n">
        <v>45781</v>
      </c>
      <c r="E613" s="4" t="n">
        <v>171.36</v>
      </c>
      <c r="F613">
        <f>Summary!$B$3-D613</f>
        <v/>
      </c>
      <c r="G613">
        <f>IF(D613&gt;Summary!$B$3,"Current",IF(F613&lt;=30,"0-30",IF(F613&lt;=60,"31-60",IF(F613&lt;=90,"61-90","90+"))))</f>
        <v/>
      </c>
    </row>
    <row r="614">
      <c r="A614" t="inlineStr">
        <is>
          <t>0009021600</t>
        </is>
      </c>
      <c r="B614" t="inlineStr">
        <is>
          <t>0000100175</t>
        </is>
      </c>
      <c r="C614" s="3" t="n">
        <v>45755</v>
      </c>
      <c r="D614" s="3" t="n">
        <v>45815</v>
      </c>
      <c r="E614" s="4" t="n">
        <v>1461.42</v>
      </c>
      <c r="F614">
        <f>Summary!$B$3-D614</f>
        <v/>
      </c>
      <c r="G614">
        <f>IF(D614&gt;Summary!$B$3,"Current",IF(F614&lt;=30,"0-30",IF(F614&lt;=60,"31-60",IF(F614&lt;=90,"61-90","90+"))))</f>
        <v/>
      </c>
    </row>
    <row r="615">
      <c r="A615" t="inlineStr">
        <is>
          <t>0009021621</t>
        </is>
      </c>
      <c r="B615" t="inlineStr">
        <is>
          <t>0000100563</t>
        </is>
      </c>
      <c r="C615" s="3" t="n">
        <v>45756</v>
      </c>
      <c r="D615" s="3" t="n">
        <v>45786</v>
      </c>
      <c r="E615" s="4" t="n">
        <v>229.1</v>
      </c>
      <c r="F615">
        <f>Summary!$B$3-D615</f>
        <v/>
      </c>
      <c r="G615">
        <f>IF(D615&gt;Summary!$B$3,"Current",IF(F615&lt;=30,"0-30",IF(F615&lt;=60,"31-60",IF(F615&lt;=90,"61-90","90+"))))</f>
        <v/>
      </c>
    </row>
    <row r="616">
      <c r="A616" t="inlineStr">
        <is>
          <t>0009021632</t>
        </is>
      </c>
      <c r="B616" t="inlineStr">
        <is>
          <t>0000100115</t>
        </is>
      </c>
      <c r="C616" s="3" t="n">
        <v>45757</v>
      </c>
      <c r="D616" s="3" t="n">
        <v>45787</v>
      </c>
      <c r="E616" s="4" t="n">
        <v>938.88</v>
      </c>
      <c r="F616">
        <f>Summary!$B$3-D616</f>
        <v/>
      </c>
      <c r="G616">
        <f>IF(D616&gt;Summary!$B$3,"Current",IF(F616&lt;=30,"0-30",IF(F616&lt;=60,"31-60",IF(F616&lt;=90,"61-90","90+"))))</f>
        <v/>
      </c>
    </row>
    <row r="617">
      <c r="A617" t="inlineStr">
        <is>
          <t>0009021638</t>
        </is>
      </c>
      <c r="B617" t="inlineStr">
        <is>
          <t>0000100543</t>
        </is>
      </c>
      <c r="C617" s="3" t="n">
        <v>45752</v>
      </c>
      <c r="D617" s="3" t="n">
        <v>45812</v>
      </c>
      <c r="E617" s="4" t="n">
        <v>765.36</v>
      </c>
      <c r="F617">
        <f>Summary!$B$3-D617</f>
        <v/>
      </c>
      <c r="G617">
        <f>IF(D617&gt;Summary!$B$3,"Current",IF(F617&lt;=30,"0-30",IF(F617&lt;=60,"31-60",IF(F617&lt;=90,"61-90","90+"))))</f>
        <v/>
      </c>
    </row>
    <row r="618">
      <c r="A618" t="inlineStr">
        <is>
          <t>0009021660</t>
        </is>
      </c>
      <c r="B618" t="inlineStr">
        <is>
          <t>0000100097</t>
        </is>
      </c>
      <c r="C618" s="3" t="n">
        <v>45755</v>
      </c>
      <c r="D618" s="3" t="n">
        <v>45800</v>
      </c>
      <c r="E618" s="4" t="n">
        <v>4969.26</v>
      </c>
      <c r="F618">
        <f>Summary!$B$3-D618</f>
        <v/>
      </c>
      <c r="G618">
        <f>IF(D618&gt;Summary!$B$3,"Current",IF(F618&lt;=30,"0-30",IF(F618&lt;=60,"31-60",IF(F618&lt;=90,"61-90","90+"))))</f>
        <v/>
      </c>
    </row>
    <row r="619">
      <c r="A619" t="inlineStr">
        <is>
          <t>0009021710</t>
        </is>
      </c>
      <c r="B619" t="inlineStr">
        <is>
          <t>0000100249</t>
        </is>
      </c>
      <c r="C619" s="3" t="n">
        <v>45760</v>
      </c>
      <c r="D619" s="3" t="n">
        <v>45820</v>
      </c>
      <c r="E619" s="4" t="n">
        <v>943.87</v>
      </c>
      <c r="F619">
        <f>Summary!$B$3-D619</f>
        <v/>
      </c>
      <c r="G619">
        <f>IF(D619&gt;Summary!$B$3,"Current",IF(F619&lt;=30,"0-30",IF(F619&lt;=60,"31-60",IF(F619&lt;=90,"61-90","90+"))))</f>
        <v/>
      </c>
    </row>
    <row r="620">
      <c r="A620" t="inlineStr">
        <is>
          <t>0009021719</t>
        </is>
      </c>
      <c r="B620" t="inlineStr">
        <is>
          <t>0000100520</t>
        </is>
      </c>
      <c r="C620" s="3" t="n">
        <v>45754</v>
      </c>
      <c r="D620" s="3" t="n">
        <v>45799</v>
      </c>
      <c r="E620" s="4" t="n">
        <v>207.64</v>
      </c>
      <c r="F620">
        <f>Summary!$B$3-D620</f>
        <v/>
      </c>
      <c r="G620">
        <f>IF(D620&gt;Summary!$B$3,"Current",IF(F620&lt;=30,"0-30",IF(F620&lt;=60,"31-60",IF(F620&lt;=90,"61-90","90+"))))</f>
        <v/>
      </c>
    </row>
    <row r="621">
      <c r="A621" t="inlineStr">
        <is>
          <t>0009021744</t>
        </is>
      </c>
      <c r="B621" t="inlineStr">
        <is>
          <t>0000100404</t>
        </is>
      </c>
      <c r="C621" s="3" t="n">
        <v>45764</v>
      </c>
      <c r="D621" s="3" t="n">
        <v>45809</v>
      </c>
      <c r="E621" s="4" t="n">
        <v>1096.08</v>
      </c>
      <c r="F621">
        <f>Summary!$B$3-D621</f>
        <v/>
      </c>
      <c r="G621">
        <f>IF(D621&gt;Summary!$B$3,"Current",IF(F621&lt;=30,"0-30",IF(F621&lt;=60,"31-60",IF(F621&lt;=90,"61-90","90+"))))</f>
        <v/>
      </c>
    </row>
    <row r="622">
      <c r="A622" t="inlineStr">
        <is>
          <t>0009021768</t>
        </is>
      </c>
      <c r="B622" t="inlineStr">
        <is>
          <t>0000100038</t>
        </is>
      </c>
      <c r="C622" s="3" t="n">
        <v>45760</v>
      </c>
      <c r="D622" s="3" t="n">
        <v>45805</v>
      </c>
      <c r="E622" s="4" t="n">
        <v>1143.31</v>
      </c>
      <c r="F622">
        <f>Summary!$B$3-D622</f>
        <v/>
      </c>
      <c r="G622">
        <f>IF(D622&gt;Summary!$B$3,"Current",IF(F622&lt;=30,"0-30",IF(F622&lt;=60,"31-60",IF(F622&lt;=90,"61-90","90+"))))</f>
        <v/>
      </c>
    </row>
    <row r="623">
      <c r="A623" t="inlineStr">
        <is>
          <t>0009021843</t>
        </is>
      </c>
      <c r="B623" t="inlineStr">
        <is>
          <t>0000100189</t>
        </is>
      </c>
      <c r="C623" s="3" t="n">
        <v>45760</v>
      </c>
      <c r="D623" s="3" t="n">
        <v>45805</v>
      </c>
      <c r="E623" s="4" t="n">
        <v>1556.43</v>
      </c>
      <c r="F623">
        <f>Summary!$B$3-D623</f>
        <v/>
      </c>
      <c r="G623">
        <f>IF(D623&gt;Summary!$B$3,"Current",IF(F623&lt;=30,"0-30",IF(F623&lt;=60,"31-60",IF(F623&lt;=90,"61-90","90+"))))</f>
        <v/>
      </c>
    </row>
    <row r="624">
      <c r="A624" t="inlineStr">
        <is>
          <t>0009021876</t>
        </is>
      </c>
      <c r="B624" t="inlineStr">
        <is>
          <t>0000100002</t>
        </is>
      </c>
      <c r="C624" s="3" t="n">
        <v>45764</v>
      </c>
      <c r="D624" s="3" t="n">
        <v>45824</v>
      </c>
      <c r="E624" s="4" t="n">
        <v>273.86</v>
      </c>
      <c r="F624">
        <f>Summary!$B$3-D624</f>
        <v/>
      </c>
      <c r="G624">
        <f>IF(D624&gt;Summary!$B$3,"Current",IF(F624&lt;=30,"0-30",IF(F624&lt;=60,"31-60",IF(F624&lt;=90,"61-90","90+"))))</f>
        <v/>
      </c>
    </row>
    <row r="625">
      <c r="A625" t="inlineStr">
        <is>
          <t>0009021890</t>
        </is>
      </c>
      <c r="B625" t="inlineStr">
        <is>
          <t>0000100484</t>
        </is>
      </c>
      <c r="C625" s="3" t="n">
        <v>45765</v>
      </c>
      <c r="D625" s="3" t="n">
        <v>45825</v>
      </c>
      <c r="E625" s="4" t="n">
        <v>139.95</v>
      </c>
      <c r="F625">
        <f>Summary!$B$3-D625</f>
        <v/>
      </c>
      <c r="G625">
        <f>IF(D625&gt;Summary!$B$3,"Current",IF(F625&lt;=30,"0-30",IF(F625&lt;=60,"31-60",IF(F625&lt;=90,"61-90","90+"))))</f>
        <v/>
      </c>
    </row>
    <row r="626">
      <c r="A626" t="inlineStr">
        <is>
          <t>0009021916</t>
        </is>
      </c>
      <c r="B626" t="inlineStr">
        <is>
          <t>0000100453</t>
        </is>
      </c>
      <c r="C626" s="3" t="n">
        <v>45767</v>
      </c>
      <c r="D626" s="3" t="n">
        <v>45797</v>
      </c>
      <c r="E626" s="4" t="n">
        <v>1847.95</v>
      </c>
      <c r="F626">
        <f>Summary!$B$3-D626</f>
        <v/>
      </c>
      <c r="G626">
        <f>IF(D626&gt;Summary!$B$3,"Current",IF(F626&lt;=30,"0-30",IF(F626&lt;=60,"31-60",IF(F626&lt;=90,"61-90","90+"))))</f>
        <v/>
      </c>
    </row>
    <row r="627">
      <c r="A627" t="inlineStr">
        <is>
          <t>0009021932</t>
        </is>
      </c>
      <c r="B627" t="inlineStr">
        <is>
          <t>0000100587</t>
        </is>
      </c>
      <c r="C627" s="3" t="n">
        <v>45772</v>
      </c>
      <c r="D627" s="3" t="n">
        <v>45832</v>
      </c>
      <c r="E627" s="4" t="n">
        <v>529.92</v>
      </c>
      <c r="F627">
        <f>Summary!$B$3-D627</f>
        <v/>
      </c>
      <c r="G627">
        <f>IF(D627&gt;Summary!$B$3,"Current",IF(F627&lt;=30,"0-30",IF(F627&lt;=60,"31-60",IF(F627&lt;=90,"61-90","90+"))))</f>
        <v/>
      </c>
    </row>
    <row r="628">
      <c r="A628" t="inlineStr">
        <is>
          <t>0009021945</t>
        </is>
      </c>
      <c r="B628" t="inlineStr">
        <is>
          <t>0000100559</t>
        </is>
      </c>
      <c r="C628" s="3" t="n">
        <v>45763</v>
      </c>
      <c r="D628" s="3" t="n">
        <v>45808</v>
      </c>
      <c r="E628" s="4" t="n">
        <v>630.9400000000001</v>
      </c>
      <c r="F628">
        <f>Summary!$B$3-D628</f>
        <v/>
      </c>
      <c r="G628">
        <f>IF(D628&gt;Summary!$B$3,"Current",IF(F628&lt;=30,"0-30",IF(F628&lt;=60,"31-60",IF(F628&lt;=90,"61-90","90+"))))</f>
        <v/>
      </c>
    </row>
    <row r="629">
      <c r="A629" t="inlineStr">
        <is>
          <t>0009021950</t>
        </is>
      </c>
      <c r="B629" t="inlineStr">
        <is>
          <t>0000100254</t>
        </is>
      </c>
      <c r="C629" s="3" t="n">
        <v>45771</v>
      </c>
      <c r="D629" s="3" t="n">
        <v>45801</v>
      </c>
      <c r="E629" s="4" t="n">
        <v>1736.65</v>
      </c>
      <c r="F629">
        <f>Summary!$B$3-D629</f>
        <v/>
      </c>
      <c r="G629">
        <f>IF(D629&gt;Summary!$B$3,"Current",IF(F629&lt;=30,"0-30",IF(F629&lt;=60,"31-60",IF(F629&lt;=90,"61-90","90+"))))</f>
        <v/>
      </c>
    </row>
    <row r="630">
      <c r="A630" t="inlineStr">
        <is>
          <t>0009021976</t>
        </is>
      </c>
      <c r="B630" t="inlineStr">
        <is>
          <t>0000100219</t>
        </is>
      </c>
      <c r="C630" s="3" t="n">
        <v>45765</v>
      </c>
      <c r="D630" s="3" t="n">
        <v>45795</v>
      </c>
      <c r="E630" s="4" t="n">
        <v>2057.77</v>
      </c>
      <c r="F630">
        <f>Summary!$B$3-D630</f>
        <v/>
      </c>
      <c r="G630">
        <f>IF(D630&gt;Summary!$B$3,"Current",IF(F630&lt;=30,"0-30",IF(F630&lt;=60,"31-60",IF(F630&lt;=90,"61-90","90+"))))</f>
        <v/>
      </c>
    </row>
    <row r="631">
      <c r="A631" t="inlineStr">
        <is>
          <t>0009022006</t>
        </is>
      </c>
      <c r="B631" t="inlineStr">
        <is>
          <t>0000100052</t>
        </is>
      </c>
      <c r="C631" s="3" t="n">
        <v>45765</v>
      </c>
      <c r="D631" s="3" t="n">
        <v>45810</v>
      </c>
      <c r="E631" s="4" t="n">
        <v>222.44</v>
      </c>
      <c r="F631">
        <f>Summary!$B$3-D631</f>
        <v/>
      </c>
      <c r="G631">
        <f>IF(D631&gt;Summary!$B$3,"Current",IF(F631&lt;=30,"0-30",IF(F631&lt;=60,"31-60",IF(F631&lt;=90,"61-90","90+"))))</f>
        <v/>
      </c>
    </row>
    <row r="632">
      <c r="A632" t="inlineStr">
        <is>
          <t>0009022010</t>
        </is>
      </c>
      <c r="B632" t="inlineStr">
        <is>
          <t>0000100206</t>
        </is>
      </c>
      <c r="C632" s="3" t="n">
        <v>45764</v>
      </c>
      <c r="D632" s="3" t="n">
        <v>45809</v>
      </c>
      <c r="E632" s="4" t="n">
        <v>12908.94</v>
      </c>
      <c r="F632">
        <f>Summary!$B$3-D632</f>
        <v/>
      </c>
      <c r="G632">
        <f>IF(D632&gt;Summary!$B$3,"Current",IF(F632&lt;=30,"0-30",IF(F632&lt;=60,"31-60",IF(F632&lt;=90,"61-90","90+"))))</f>
        <v/>
      </c>
    </row>
    <row r="633">
      <c r="A633" t="inlineStr">
        <is>
          <t>0009022027</t>
        </is>
      </c>
      <c r="B633" t="inlineStr">
        <is>
          <t>0000100052</t>
        </is>
      </c>
      <c r="C633" s="3" t="n">
        <v>45765</v>
      </c>
      <c r="D633" s="3" t="n">
        <v>45810</v>
      </c>
      <c r="E633" s="4" t="n">
        <v>2170.57</v>
      </c>
      <c r="F633">
        <f>Summary!$B$3-D633</f>
        <v/>
      </c>
      <c r="G633">
        <f>IF(D633&gt;Summary!$B$3,"Current",IF(F633&lt;=30,"0-30",IF(F633&lt;=60,"31-60",IF(F633&lt;=90,"61-90","90+"))))</f>
        <v/>
      </c>
    </row>
    <row r="634">
      <c r="A634" t="inlineStr">
        <is>
          <t>0009022085</t>
        </is>
      </c>
      <c r="B634" t="inlineStr">
        <is>
          <t>0000100352</t>
        </is>
      </c>
      <c r="C634" s="3" t="n">
        <v>45775</v>
      </c>
      <c r="D634" s="3" t="n">
        <v>45805</v>
      </c>
      <c r="E634" s="4" t="n">
        <v>1848.57</v>
      </c>
      <c r="F634">
        <f>Summary!$B$3-D634</f>
        <v/>
      </c>
      <c r="G634">
        <f>IF(D634&gt;Summary!$B$3,"Current",IF(F634&lt;=30,"0-30",IF(F634&lt;=60,"31-60",IF(F634&lt;=90,"61-90","90+"))))</f>
        <v/>
      </c>
    </row>
    <row r="635">
      <c r="A635" t="inlineStr">
        <is>
          <t>0009022145</t>
        </is>
      </c>
      <c r="B635" t="inlineStr">
        <is>
          <t>0000100429</t>
        </is>
      </c>
      <c r="C635" s="3" t="n">
        <v>45770</v>
      </c>
      <c r="D635" s="3" t="n">
        <v>45800</v>
      </c>
      <c r="E635" s="4" t="n">
        <v>1372.3</v>
      </c>
      <c r="F635">
        <f>Summary!$B$3-D635</f>
        <v/>
      </c>
      <c r="G635">
        <f>IF(D635&gt;Summary!$B$3,"Current",IF(F635&lt;=30,"0-30",IF(F635&lt;=60,"31-60",IF(F635&lt;=90,"61-90","90+"))))</f>
        <v/>
      </c>
    </row>
    <row r="636">
      <c r="A636" t="inlineStr">
        <is>
          <t>0009022169</t>
        </is>
      </c>
      <c r="B636" t="inlineStr">
        <is>
          <t>0000100219</t>
        </is>
      </c>
      <c r="C636" s="3" t="n">
        <v>45772</v>
      </c>
      <c r="D636" s="3" t="n">
        <v>45802</v>
      </c>
      <c r="E636" s="4" t="n">
        <v>281.57</v>
      </c>
      <c r="F636">
        <f>Summary!$B$3-D636</f>
        <v/>
      </c>
      <c r="G636">
        <f>IF(D636&gt;Summary!$B$3,"Current",IF(F636&lt;=30,"0-30",IF(F636&lt;=60,"31-60",IF(F636&lt;=90,"61-90","90+"))))</f>
        <v/>
      </c>
    </row>
    <row r="637">
      <c r="A637" t="inlineStr">
        <is>
          <t>0009022207</t>
        </is>
      </c>
      <c r="B637" t="inlineStr">
        <is>
          <t>0000100531</t>
        </is>
      </c>
      <c r="C637" s="3" t="n">
        <v>45776</v>
      </c>
      <c r="D637" s="3" t="n">
        <v>45821</v>
      </c>
      <c r="E637" s="4" t="n">
        <v>104.76</v>
      </c>
      <c r="F637">
        <f>Summary!$B$3-D637</f>
        <v/>
      </c>
      <c r="G637">
        <f>IF(D637&gt;Summary!$B$3,"Current",IF(F637&lt;=30,"0-30",IF(F637&lt;=60,"31-60",IF(F637&lt;=90,"61-90","90+"))))</f>
        <v/>
      </c>
    </row>
    <row r="638">
      <c r="A638" t="inlineStr">
        <is>
          <t>0009022217</t>
        </is>
      </c>
      <c r="B638" t="inlineStr">
        <is>
          <t>0000100499</t>
        </is>
      </c>
      <c r="C638" s="3" t="n">
        <v>45776</v>
      </c>
      <c r="D638" s="3" t="n">
        <v>45806</v>
      </c>
      <c r="E638" s="4" t="n">
        <v>2557.57</v>
      </c>
      <c r="F638">
        <f>Summary!$B$3-D638</f>
        <v/>
      </c>
      <c r="G638">
        <f>IF(D638&gt;Summary!$B$3,"Current",IF(F638&lt;=30,"0-30",IF(F638&lt;=60,"31-60",IF(F638&lt;=90,"61-90","90+"))))</f>
        <v/>
      </c>
    </row>
    <row r="639">
      <c r="A639" t="inlineStr">
        <is>
          <t>0009022277</t>
        </is>
      </c>
      <c r="B639" t="inlineStr">
        <is>
          <t>0000100314</t>
        </is>
      </c>
      <c r="C639" s="3" t="n">
        <v>45778</v>
      </c>
      <c r="D639" s="3" t="n">
        <v>45838</v>
      </c>
      <c r="E639" s="4" t="n">
        <v>333.35</v>
      </c>
      <c r="F639">
        <f>Summary!$B$3-D639</f>
        <v/>
      </c>
      <c r="G639">
        <f>IF(D639&gt;Summary!$B$3,"Current",IF(F639&lt;=30,"0-30",IF(F639&lt;=60,"31-60",IF(F639&lt;=90,"61-90","90+"))))</f>
        <v/>
      </c>
    </row>
    <row r="640">
      <c r="A640" t="inlineStr">
        <is>
          <t>0009022285</t>
        </is>
      </c>
      <c r="B640" t="inlineStr">
        <is>
          <t>0000100109</t>
        </is>
      </c>
      <c r="C640" s="3" t="n">
        <v>45776</v>
      </c>
      <c r="D640" s="3" t="n">
        <v>45806</v>
      </c>
      <c r="E640" s="4" t="n">
        <v>1254.63</v>
      </c>
      <c r="F640">
        <f>Summary!$B$3-D640</f>
        <v/>
      </c>
      <c r="G640">
        <f>IF(D640&gt;Summary!$B$3,"Current",IF(F640&lt;=30,"0-30",IF(F640&lt;=60,"31-60",IF(F640&lt;=90,"61-90","90+"))))</f>
        <v/>
      </c>
    </row>
    <row r="641">
      <c r="A641" t="inlineStr">
        <is>
          <t>0009022314</t>
        </is>
      </c>
      <c r="B641" t="inlineStr">
        <is>
          <t>0000100456</t>
        </is>
      </c>
      <c r="C641" s="3" t="n">
        <v>45780</v>
      </c>
      <c r="D641" s="3" t="n">
        <v>45840</v>
      </c>
      <c r="E641" s="4" t="n">
        <v>569.65</v>
      </c>
      <c r="F641">
        <f>Summary!$B$3-D641</f>
        <v/>
      </c>
      <c r="G641">
        <f>IF(D641&gt;Summary!$B$3,"Current",IF(F641&lt;=30,"0-30",IF(F641&lt;=60,"31-60",IF(F641&lt;=90,"61-90","90+"))))</f>
        <v/>
      </c>
    </row>
    <row r="642">
      <c r="A642" t="inlineStr">
        <is>
          <t>0009022320</t>
        </is>
      </c>
      <c r="B642" t="inlineStr">
        <is>
          <t>0000100219</t>
        </is>
      </c>
      <c r="C642" s="3" t="n">
        <v>45775</v>
      </c>
      <c r="D642" s="3" t="n">
        <v>45805</v>
      </c>
      <c r="E642" s="4" t="n">
        <v>657.85</v>
      </c>
      <c r="F642">
        <f>Summary!$B$3-D642</f>
        <v/>
      </c>
      <c r="G642">
        <f>IF(D642&gt;Summary!$B$3,"Current",IF(F642&lt;=30,"0-30",IF(F642&lt;=60,"31-60",IF(F642&lt;=90,"61-90","90+"))))</f>
        <v/>
      </c>
    </row>
    <row r="643">
      <c r="A643" t="inlineStr">
        <is>
          <t>0009022333</t>
        </is>
      </c>
      <c r="B643" t="inlineStr">
        <is>
          <t>0000100415</t>
        </is>
      </c>
      <c r="C643" s="3" t="n">
        <v>45778</v>
      </c>
      <c r="D643" s="3" t="n">
        <v>45808</v>
      </c>
      <c r="E643" s="4" t="n">
        <v>2502.54</v>
      </c>
      <c r="F643">
        <f>Summary!$B$3-D643</f>
        <v/>
      </c>
      <c r="G643">
        <f>IF(D643&gt;Summary!$B$3,"Current",IF(F643&lt;=30,"0-30",IF(F643&lt;=60,"31-60",IF(F643&lt;=90,"61-90","90+"))))</f>
        <v/>
      </c>
    </row>
    <row r="644">
      <c r="A644" t="inlineStr">
        <is>
          <t>0009022355</t>
        </is>
      </c>
      <c r="B644" t="inlineStr">
        <is>
          <t>0000100417</t>
        </is>
      </c>
      <c r="C644" s="3" t="n">
        <v>45785</v>
      </c>
      <c r="D644" s="3" t="n">
        <v>45845</v>
      </c>
      <c r="E644" s="4" t="n">
        <v>301.14</v>
      </c>
      <c r="F644">
        <f>Summary!$B$3-D644</f>
        <v/>
      </c>
      <c r="G644">
        <f>IF(D644&gt;Summary!$B$3,"Current",IF(F644&lt;=30,"0-30",IF(F644&lt;=60,"31-60",IF(F644&lt;=90,"61-90","90+"))))</f>
        <v/>
      </c>
    </row>
    <row r="645">
      <c r="A645" t="inlineStr">
        <is>
          <t>0009022423</t>
        </is>
      </c>
      <c r="B645" t="inlineStr">
        <is>
          <t>0000100000</t>
        </is>
      </c>
      <c r="C645" s="3" t="n">
        <v>45784</v>
      </c>
      <c r="D645" s="3" t="n">
        <v>45814</v>
      </c>
      <c r="E645" s="4" t="n">
        <v>3103.34</v>
      </c>
      <c r="F645">
        <f>Summary!$B$3-D645</f>
        <v/>
      </c>
      <c r="G645">
        <f>IF(D645&gt;Summary!$B$3,"Current",IF(F645&lt;=30,"0-30",IF(F645&lt;=60,"31-60",IF(F645&lt;=90,"61-90","90+"))))</f>
        <v/>
      </c>
    </row>
    <row r="646">
      <c r="A646" t="inlineStr">
        <is>
          <t>0009022479</t>
        </is>
      </c>
      <c r="B646" t="inlineStr">
        <is>
          <t>0000100490</t>
        </is>
      </c>
      <c r="C646" s="3" t="n">
        <v>45780</v>
      </c>
      <c r="D646" s="3" t="n">
        <v>45810</v>
      </c>
      <c r="E646" s="4" t="n">
        <v>56.85</v>
      </c>
      <c r="F646">
        <f>Summary!$B$3-D646</f>
        <v/>
      </c>
      <c r="G646">
        <f>IF(D646&gt;Summary!$B$3,"Current",IF(F646&lt;=30,"0-30",IF(F646&lt;=60,"31-60",IF(F646&lt;=90,"61-90","90+"))))</f>
        <v/>
      </c>
    </row>
    <row r="647">
      <c r="A647" t="inlineStr">
        <is>
          <t>0009022517</t>
        </is>
      </c>
      <c r="B647" t="inlineStr">
        <is>
          <t>0000100229</t>
        </is>
      </c>
      <c r="C647" s="3" t="n">
        <v>45789</v>
      </c>
      <c r="D647" s="3" t="n">
        <v>45819</v>
      </c>
      <c r="E647" s="4" t="n">
        <v>4551.03</v>
      </c>
      <c r="F647">
        <f>Summary!$B$3-D647</f>
        <v/>
      </c>
      <c r="G647">
        <f>IF(D647&gt;Summary!$B$3,"Current",IF(F647&lt;=30,"0-30",IF(F647&lt;=60,"31-60",IF(F647&lt;=90,"61-90","90+"))))</f>
        <v/>
      </c>
    </row>
    <row r="648">
      <c r="A648" t="inlineStr">
        <is>
          <t>0009022551</t>
        </is>
      </c>
      <c r="B648" t="inlineStr">
        <is>
          <t>0000100128</t>
        </is>
      </c>
      <c r="C648" s="3" t="n">
        <v>45790</v>
      </c>
      <c r="D648" s="3" t="n">
        <v>45820</v>
      </c>
      <c r="E648" s="4" t="n">
        <v>3818.96</v>
      </c>
      <c r="F648">
        <f>Summary!$B$3-D648</f>
        <v/>
      </c>
      <c r="G648">
        <f>IF(D648&gt;Summary!$B$3,"Current",IF(F648&lt;=30,"0-30",IF(F648&lt;=60,"31-60",IF(F648&lt;=90,"61-90","90+"))))</f>
        <v/>
      </c>
    </row>
    <row r="649">
      <c r="A649" t="inlineStr">
        <is>
          <t>0009022571</t>
        </is>
      </c>
      <c r="B649" t="inlineStr">
        <is>
          <t>0000100064</t>
        </is>
      </c>
      <c r="C649" s="3" t="n">
        <v>45788</v>
      </c>
      <c r="D649" s="3" t="n">
        <v>45818</v>
      </c>
      <c r="E649" s="4" t="n">
        <v>852.36</v>
      </c>
      <c r="F649">
        <f>Summary!$B$3-D649</f>
        <v/>
      </c>
      <c r="G649">
        <f>IF(D649&gt;Summary!$B$3,"Current",IF(F649&lt;=30,"0-30",IF(F649&lt;=60,"31-60",IF(F649&lt;=90,"61-90","90+"))))</f>
        <v/>
      </c>
    </row>
    <row r="650">
      <c r="A650" t="inlineStr">
        <is>
          <t>0009022579</t>
        </is>
      </c>
      <c r="B650" t="inlineStr">
        <is>
          <t>0000100267</t>
        </is>
      </c>
      <c r="C650" s="3" t="n">
        <v>45785</v>
      </c>
      <c r="D650" s="3" t="n">
        <v>45830</v>
      </c>
      <c r="E650" s="4" t="n">
        <v>305.6</v>
      </c>
      <c r="F650">
        <f>Summary!$B$3-D650</f>
        <v/>
      </c>
      <c r="G650">
        <f>IF(D650&gt;Summary!$B$3,"Current",IF(F650&lt;=30,"0-30",IF(F650&lt;=60,"31-60",IF(F650&lt;=90,"61-90","90+"))))</f>
        <v/>
      </c>
    </row>
    <row r="651">
      <c r="A651" t="inlineStr">
        <is>
          <t>0009022585</t>
        </is>
      </c>
      <c r="B651" t="inlineStr">
        <is>
          <t>0000100227</t>
        </is>
      </c>
      <c r="C651" s="3" t="n">
        <v>45784</v>
      </c>
      <c r="D651" s="3" t="n">
        <v>45814</v>
      </c>
      <c r="E651" s="4" t="n">
        <v>6996.15</v>
      </c>
      <c r="F651">
        <f>Summary!$B$3-D651</f>
        <v/>
      </c>
      <c r="G651">
        <f>IF(D651&gt;Summary!$B$3,"Current",IF(F651&lt;=30,"0-30",IF(F651&lt;=60,"31-60",IF(F651&lt;=90,"61-90","90+"))))</f>
        <v/>
      </c>
    </row>
    <row r="652">
      <c r="A652" t="inlineStr">
        <is>
          <t>0009022587</t>
        </is>
      </c>
      <c r="B652" t="inlineStr">
        <is>
          <t>0000100599</t>
        </is>
      </c>
      <c r="C652" s="3" t="n">
        <v>45789</v>
      </c>
      <c r="D652" s="3" t="n">
        <v>45834</v>
      </c>
      <c r="E652" s="4" t="n">
        <v>367.15</v>
      </c>
      <c r="F652">
        <f>Summary!$B$3-D652</f>
        <v/>
      </c>
      <c r="G652">
        <f>IF(D652&gt;Summary!$B$3,"Current",IF(F652&lt;=30,"0-30",IF(F652&lt;=60,"31-60",IF(F652&lt;=90,"61-90","90+"))))</f>
        <v/>
      </c>
    </row>
    <row r="653">
      <c r="A653" t="inlineStr">
        <is>
          <t>0009022642</t>
        </is>
      </c>
      <c r="B653" t="inlineStr">
        <is>
          <t>0000100228</t>
        </is>
      </c>
      <c r="C653" s="3" t="n">
        <v>45786</v>
      </c>
      <c r="D653" s="3" t="n">
        <v>45846</v>
      </c>
      <c r="E653" s="4" t="n">
        <v>380.86</v>
      </c>
      <c r="F653">
        <f>Summary!$B$3-D653</f>
        <v/>
      </c>
      <c r="G653">
        <f>IF(D653&gt;Summary!$B$3,"Current",IF(F653&lt;=30,"0-30",IF(F653&lt;=60,"31-60",IF(F653&lt;=90,"61-90","90+"))))</f>
        <v/>
      </c>
    </row>
    <row r="654">
      <c r="A654" t="inlineStr">
        <is>
          <t>0009022651</t>
        </is>
      </c>
      <c r="B654" t="inlineStr">
        <is>
          <t>0000100570</t>
        </is>
      </c>
      <c r="C654" s="3" t="n">
        <v>45791</v>
      </c>
      <c r="D654" s="3" t="n">
        <v>45821</v>
      </c>
      <c r="E654" s="4" t="n">
        <v>214.77</v>
      </c>
      <c r="F654">
        <f>Summary!$B$3-D654</f>
        <v/>
      </c>
      <c r="G654">
        <f>IF(D654&gt;Summary!$B$3,"Current",IF(F654&lt;=30,"0-30",IF(F654&lt;=60,"31-60",IF(F654&lt;=90,"61-90","90+"))))</f>
        <v/>
      </c>
    </row>
    <row r="655">
      <c r="A655" t="inlineStr">
        <is>
          <t>0009022672</t>
        </is>
      </c>
      <c r="B655" t="inlineStr">
        <is>
          <t>0000100340</t>
        </is>
      </c>
      <c r="C655" s="3" t="n">
        <v>45796</v>
      </c>
      <c r="D655" s="3" t="n">
        <v>45826</v>
      </c>
      <c r="E655" s="4" t="n">
        <v>705.71</v>
      </c>
      <c r="F655">
        <f>Summary!$B$3-D655</f>
        <v/>
      </c>
      <c r="G655">
        <f>IF(D655&gt;Summary!$B$3,"Current",IF(F655&lt;=30,"0-30",IF(F655&lt;=60,"31-60",IF(F655&lt;=90,"61-90","90+"))))</f>
        <v/>
      </c>
    </row>
    <row r="656">
      <c r="A656" t="inlineStr">
        <is>
          <t>0009022723</t>
        </is>
      </c>
      <c r="B656" t="inlineStr">
        <is>
          <t>0000100434</t>
        </is>
      </c>
      <c r="C656" s="3" t="n">
        <v>45793</v>
      </c>
      <c r="D656" s="3" t="n">
        <v>45823</v>
      </c>
      <c r="E656" s="4" t="n">
        <v>133.25</v>
      </c>
      <c r="F656">
        <f>Summary!$B$3-D656</f>
        <v/>
      </c>
      <c r="G656">
        <f>IF(D656&gt;Summary!$B$3,"Current",IF(F656&lt;=30,"0-30",IF(F656&lt;=60,"31-60",IF(F656&lt;=90,"61-90","90+"))))</f>
        <v/>
      </c>
    </row>
    <row r="657">
      <c r="A657" t="inlineStr">
        <is>
          <t>0009022758</t>
        </is>
      </c>
      <c r="B657" t="inlineStr">
        <is>
          <t>0000100529</t>
        </is>
      </c>
      <c r="C657" s="3" t="n">
        <v>45793</v>
      </c>
      <c r="D657" s="3" t="n">
        <v>45853</v>
      </c>
      <c r="E657" s="4" t="n">
        <v>238.2</v>
      </c>
      <c r="F657">
        <f>Summary!$B$3-D657</f>
        <v/>
      </c>
      <c r="G657">
        <f>IF(D657&gt;Summary!$B$3,"Current",IF(F657&lt;=30,"0-30",IF(F657&lt;=60,"31-60",IF(F657&lt;=90,"61-90","90+"))))</f>
        <v/>
      </c>
    </row>
    <row r="658">
      <c r="A658" t="inlineStr">
        <is>
          <t>0009022768</t>
        </is>
      </c>
      <c r="B658" t="inlineStr">
        <is>
          <t>0000100362</t>
        </is>
      </c>
      <c r="C658" s="3" t="n">
        <v>45795</v>
      </c>
      <c r="D658" s="3" t="n">
        <v>45825</v>
      </c>
      <c r="E658" s="4" t="n">
        <v>1310.57</v>
      </c>
      <c r="F658">
        <f>Summary!$B$3-D658</f>
        <v/>
      </c>
      <c r="G658">
        <f>IF(D658&gt;Summary!$B$3,"Current",IF(F658&lt;=30,"0-30",IF(F658&lt;=60,"31-60",IF(F658&lt;=90,"61-90","90+"))))</f>
        <v/>
      </c>
    </row>
    <row r="659">
      <c r="A659" t="inlineStr">
        <is>
          <t>0009022772</t>
        </is>
      </c>
      <c r="B659" t="inlineStr">
        <is>
          <t>0000100111</t>
        </is>
      </c>
      <c r="C659" s="3" t="n">
        <v>45798</v>
      </c>
      <c r="D659" s="3" t="n">
        <v>45843</v>
      </c>
      <c r="E659" s="4" t="n">
        <v>32.34</v>
      </c>
      <c r="F659">
        <f>Summary!$B$3-D659</f>
        <v/>
      </c>
      <c r="G659">
        <f>IF(D659&gt;Summary!$B$3,"Current",IF(F659&lt;=30,"0-30",IF(F659&lt;=60,"31-60",IF(F659&lt;=90,"61-90","90+"))))</f>
        <v/>
      </c>
    </row>
    <row r="660">
      <c r="A660" t="inlineStr">
        <is>
          <t>0009022817</t>
        </is>
      </c>
      <c r="B660" t="inlineStr">
        <is>
          <t>0000100476</t>
        </is>
      </c>
      <c r="C660" s="3" t="n">
        <v>45794</v>
      </c>
      <c r="D660" s="3" t="n">
        <v>45839</v>
      </c>
      <c r="E660" s="4" t="n">
        <v>2165.65</v>
      </c>
      <c r="F660">
        <f>Summary!$B$3-D660</f>
        <v/>
      </c>
      <c r="G660">
        <f>IF(D660&gt;Summary!$B$3,"Current",IF(F660&lt;=30,"0-30",IF(F660&lt;=60,"31-60",IF(F660&lt;=90,"61-90","90+"))))</f>
        <v/>
      </c>
    </row>
    <row r="661">
      <c r="A661" t="inlineStr">
        <is>
          <t>0009022881</t>
        </is>
      </c>
      <c r="B661" t="inlineStr">
        <is>
          <t>0000100423</t>
        </is>
      </c>
      <c r="C661" s="3" t="n">
        <v>45797</v>
      </c>
      <c r="D661" s="3" t="n">
        <v>45842</v>
      </c>
      <c r="E661" s="4" t="n">
        <v>423.21</v>
      </c>
      <c r="F661">
        <f>Summary!$B$3-D661</f>
        <v/>
      </c>
      <c r="G661">
        <f>IF(D661&gt;Summary!$B$3,"Current",IF(F661&lt;=30,"0-30",IF(F661&lt;=60,"31-60",IF(F661&lt;=90,"61-90","90+"))))</f>
        <v/>
      </c>
    </row>
    <row r="662">
      <c r="A662" t="inlineStr">
        <is>
          <t>0009022887</t>
        </is>
      </c>
      <c r="B662" t="inlineStr">
        <is>
          <t>0000100291</t>
        </is>
      </c>
      <c r="C662" s="3" t="n">
        <v>45800</v>
      </c>
      <c r="D662" s="3" t="n">
        <v>45860</v>
      </c>
      <c r="E662" s="4" t="n">
        <v>875.8200000000001</v>
      </c>
      <c r="F662">
        <f>Summary!$B$3-D662</f>
        <v/>
      </c>
      <c r="G662">
        <f>IF(D662&gt;Summary!$B$3,"Current",IF(F662&lt;=30,"0-30",IF(F662&lt;=60,"31-60",IF(F662&lt;=90,"61-90","90+"))))</f>
        <v/>
      </c>
    </row>
    <row r="663">
      <c r="A663" t="inlineStr">
        <is>
          <t>0009022891</t>
        </is>
      </c>
      <c r="B663" t="inlineStr">
        <is>
          <t>0000100001</t>
        </is>
      </c>
      <c r="C663" s="3" t="n">
        <v>45799</v>
      </c>
      <c r="D663" s="3" t="n">
        <v>45844</v>
      </c>
      <c r="E663" s="4" t="n">
        <v>2078.16</v>
      </c>
      <c r="F663">
        <f>Summary!$B$3-D663</f>
        <v/>
      </c>
      <c r="G663">
        <f>IF(D663&gt;Summary!$B$3,"Current",IF(F663&lt;=30,"0-30",IF(F663&lt;=60,"31-60",IF(F663&lt;=90,"61-90","90+"))))</f>
        <v/>
      </c>
    </row>
    <row r="664">
      <c r="A664" t="inlineStr">
        <is>
          <t>0009022902</t>
        </is>
      </c>
      <c r="B664" t="inlineStr">
        <is>
          <t>0000100412</t>
        </is>
      </c>
      <c r="C664" s="3" t="n">
        <v>45797</v>
      </c>
      <c r="D664" s="3" t="n">
        <v>45827</v>
      </c>
      <c r="E664" s="4" t="n">
        <v>422.4</v>
      </c>
      <c r="F664">
        <f>Summary!$B$3-D664</f>
        <v/>
      </c>
      <c r="G664">
        <f>IF(D664&gt;Summary!$B$3,"Current",IF(F664&lt;=30,"0-30",IF(F664&lt;=60,"31-60",IF(F664&lt;=90,"61-90","90+"))))</f>
        <v/>
      </c>
    </row>
    <row r="665">
      <c r="A665" t="inlineStr">
        <is>
          <t>0009022932</t>
        </is>
      </c>
      <c r="B665" t="inlineStr">
        <is>
          <t>0000100450</t>
        </is>
      </c>
      <c r="C665" s="3" t="n">
        <v>45802</v>
      </c>
      <c r="D665" s="3" t="n">
        <v>45847</v>
      </c>
      <c r="E665" s="4" t="n">
        <v>669.46</v>
      </c>
      <c r="F665">
        <f>Summary!$B$3-D665</f>
        <v/>
      </c>
      <c r="G665">
        <f>IF(D665&gt;Summary!$B$3,"Current",IF(F665&lt;=30,"0-30",IF(F665&lt;=60,"31-60",IF(F665&lt;=90,"61-90","90+"))))</f>
        <v/>
      </c>
    </row>
    <row r="666">
      <c r="A666" t="inlineStr">
        <is>
          <t>0009023016</t>
        </is>
      </c>
      <c r="B666" t="inlineStr">
        <is>
          <t>0000100196</t>
        </is>
      </c>
      <c r="C666" s="3" t="n">
        <v>45797</v>
      </c>
      <c r="D666" s="3" t="n">
        <v>45827</v>
      </c>
      <c r="E666" s="4" t="n">
        <v>732.47</v>
      </c>
      <c r="F666">
        <f>Summary!$B$3-D666</f>
        <v/>
      </c>
      <c r="G666">
        <f>IF(D666&gt;Summary!$B$3,"Current",IF(F666&lt;=30,"0-30",IF(F666&lt;=60,"31-60",IF(F666&lt;=90,"61-90","90+"))))</f>
        <v/>
      </c>
    </row>
    <row r="667">
      <c r="A667" t="inlineStr">
        <is>
          <t>0009023032</t>
        </is>
      </c>
      <c r="B667" t="inlineStr">
        <is>
          <t>0000100539</t>
        </is>
      </c>
      <c r="C667" s="3" t="n">
        <v>45806</v>
      </c>
      <c r="D667" s="3" t="n">
        <v>45851</v>
      </c>
      <c r="E667" s="4" t="n">
        <v>973.4400000000001</v>
      </c>
      <c r="F667">
        <f>Summary!$B$3-D667</f>
        <v/>
      </c>
      <c r="G667">
        <f>IF(D667&gt;Summary!$B$3,"Current",IF(F667&lt;=30,"0-30",IF(F667&lt;=60,"31-60",IF(F667&lt;=90,"61-90","90+"))))</f>
        <v/>
      </c>
    </row>
    <row r="668">
      <c r="A668" t="inlineStr">
        <is>
          <t>0009023059</t>
        </is>
      </c>
      <c r="B668" t="inlineStr">
        <is>
          <t>0000100346</t>
        </is>
      </c>
      <c r="C668" s="3" t="n">
        <v>45806</v>
      </c>
      <c r="D668" s="3" t="n">
        <v>45851</v>
      </c>
      <c r="E668" s="4" t="n">
        <v>644.55</v>
      </c>
      <c r="F668">
        <f>Summary!$B$3-D668</f>
        <v/>
      </c>
      <c r="G668">
        <f>IF(D668&gt;Summary!$B$3,"Current",IF(F668&lt;=30,"0-30",IF(F668&lt;=60,"31-60",IF(F668&lt;=90,"61-90","90+"))))</f>
        <v/>
      </c>
    </row>
    <row r="669">
      <c r="A669" t="inlineStr">
        <is>
          <t>0009023085</t>
        </is>
      </c>
      <c r="B669" t="inlineStr">
        <is>
          <t>0000100269</t>
        </is>
      </c>
      <c r="C669" s="3" t="n">
        <v>45807</v>
      </c>
      <c r="D669" s="3" t="n">
        <v>45837</v>
      </c>
      <c r="E669" s="4" t="n">
        <v>3427.42</v>
      </c>
      <c r="F669">
        <f>Summary!$B$3-D669</f>
        <v/>
      </c>
      <c r="G669">
        <f>IF(D669&gt;Summary!$B$3,"Current",IF(F669&lt;=30,"0-30",IF(F669&lt;=60,"31-60",IF(F669&lt;=90,"61-90","90+"))))</f>
        <v/>
      </c>
    </row>
    <row r="670">
      <c r="A670" t="inlineStr">
        <is>
          <t>0009023132</t>
        </is>
      </c>
      <c r="B670" t="inlineStr">
        <is>
          <t>0000100527</t>
        </is>
      </c>
      <c r="C670" s="3" t="n">
        <v>45813</v>
      </c>
      <c r="D670" s="3" t="n">
        <v>45858</v>
      </c>
      <c r="E670" s="4" t="n">
        <v>588.6</v>
      </c>
      <c r="F670">
        <f>Summary!$B$3-D670</f>
        <v/>
      </c>
      <c r="G670">
        <f>IF(D670&gt;Summary!$B$3,"Current",IF(F670&lt;=30,"0-30",IF(F670&lt;=60,"31-60",IF(F670&lt;=90,"61-90","90+"))))</f>
        <v/>
      </c>
    </row>
    <row r="671">
      <c r="A671" t="inlineStr">
        <is>
          <t>0009023136</t>
        </is>
      </c>
      <c r="B671" t="inlineStr">
        <is>
          <t>0000100219</t>
        </is>
      </c>
      <c r="C671" s="3" t="n">
        <v>45807</v>
      </c>
      <c r="D671" s="3" t="n">
        <v>45837</v>
      </c>
      <c r="E671" s="4" t="n">
        <v>344.22</v>
      </c>
      <c r="F671">
        <f>Summary!$B$3-D671</f>
        <v/>
      </c>
      <c r="G671">
        <f>IF(D671&gt;Summary!$B$3,"Current",IF(F671&lt;=30,"0-30",IF(F671&lt;=60,"31-60",IF(F671&lt;=90,"61-90","90+"))))</f>
        <v/>
      </c>
    </row>
    <row r="672">
      <c r="A672" t="inlineStr">
        <is>
          <t>0009023164</t>
        </is>
      </c>
      <c r="B672" t="inlineStr">
        <is>
          <t>0000100049</t>
        </is>
      </c>
      <c r="C672" s="3" t="n">
        <v>45813</v>
      </c>
      <c r="D672" s="3" t="n">
        <v>45843</v>
      </c>
      <c r="E672" s="4" t="n">
        <v>1263.48</v>
      </c>
      <c r="F672">
        <f>Summary!$B$3-D672</f>
        <v/>
      </c>
      <c r="G672">
        <f>IF(D672&gt;Summary!$B$3,"Current",IF(F672&lt;=30,"0-30",IF(F672&lt;=60,"31-60",IF(F672&lt;=90,"61-90","90+"))))</f>
        <v/>
      </c>
    </row>
    <row r="673">
      <c r="A673" t="inlineStr">
        <is>
          <t>0009023219</t>
        </is>
      </c>
      <c r="B673" t="inlineStr">
        <is>
          <t>0000100571</t>
        </is>
      </c>
      <c r="C673" s="3" t="n">
        <v>45811</v>
      </c>
      <c r="D673" s="3" t="n">
        <v>45856</v>
      </c>
      <c r="E673" s="4" t="n">
        <v>1394.25</v>
      </c>
      <c r="F673">
        <f>Summary!$B$3-D673</f>
        <v/>
      </c>
      <c r="G673">
        <f>IF(D673&gt;Summary!$B$3,"Current",IF(F673&lt;=30,"0-30",IF(F673&lt;=60,"31-60",IF(F673&lt;=90,"61-90","90+"))))</f>
        <v/>
      </c>
    </row>
    <row r="674">
      <c r="A674" t="inlineStr">
        <is>
          <t>0009023237</t>
        </is>
      </c>
      <c r="B674" t="inlineStr">
        <is>
          <t>0000100125</t>
        </is>
      </c>
      <c r="C674" s="3" t="n">
        <v>45808</v>
      </c>
      <c r="D674" s="3" t="n">
        <v>45838</v>
      </c>
      <c r="E674" s="4" t="n">
        <v>3687.97</v>
      </c>
      <c r="F674">
        <f>Summary!$B$3-D674</f>
        <v/>
      </c>
      <c r="G674">
        <f>IF(D674&gt;Summary!$B$3,"Current",IF(F674&lt;=30,"0-30",IF(F674&lt;=60,"31-60",IF(F674&lt;=90,"61-90","90+"))))</f>
        <v/>
      </c>
    </row>
    <row r="675">
      <c r="A675" t="inlineStr">
        <is>
          <t>0009023243</t>
        </is>
      </c>
      <c r="B675" t="inlineStr">
        <is>
          <t>0000100103</t>
        </is>
      </c>
      <c r="C675" s="3" t="n">
        <v>45810</v>
      </c>
      <c r="D675" s="3" t="n">
        <v>45870</v>
      </c>
      <c r="E675" s="4" t="n">
        <v>572.34</v>
      </c>
      <c r="F675">
        <f>Summary!$B$3-D675</f>
        <v/>
      </c>
      <c r="G675">
        <f>IF(D675&gt;Summary!$B$3,"Current",IF(F675&lt;=30,"0-30",IF(F675&lt;=60,"31-60",IF(F675&lt;=90,"61-90","90+"))))</f>
        <v/>
      </c>
    </row>
    <row r="676">
      <c r="A676" t="inlineStr">
        <is>
          <t>0009023262</t>
        </is>
      </c>
      <c r="B676" t="inlineStr">
        <is>
          <t>0000100249</t>
        </is>
      </c>
      <c r="C676" s="3" t="n">
        <v>45814</v>
      </c>
      <c r="D676" s="3" t="n">
        <v>45874</v>
      </c>
      <c r="E676" s="4" t="n">
        <v>1776.97</v>
      </c>
      <c r="F676">
        <f>Summary!$B$3-D676</f>
        <v/>
      </c>
      <c r="G676">
        <f>IF(D676&gt;Summary!$B$3,"Current",IF(F676&lt;=30,"0-30",IF(F676&lt;=60,"31-60",IF(F676&lt;=90,"61-90","90+"))))</f>
        <v/>
      </c>
    </row>
    <row r="677">
      <c r="A677" t="inlineStr">
        <is>
          <t>0009023373</t>
        </is>
      </c>
      <c r="B677" t="inlineStr">
        <is>
          <t>0000100095</t>
        </is>
      </c>
      <c r="C677" s="3" t="n">
        <v>45814</v>
      </c>
      <c r="D677" s="3" t="n">
        <v>45859</v>
      </c>
      <c r="E677" s="4" t="n">
        <v>1227.75</v>
      </c>
      <c r="F677">
        <f>Summary!$B$3-D677</f>
        <v/>
      </c>
      <c r="G677">
        <f>IF(D677&gt;Summary!$B$3,"Current",IF(F677&lt;=30,"0-30",IF(F677&lt;=60,"31-60",IF(F677&lt;=90,"61-90","90+"))))</f>
        <v/>
      </c>
    </row>
    <row r="678">
      <c r="A678" t="inlineStr">
        <is>
          <t>0009023391</t>
        </is>
      </c>
      <c r="B678" t="inlineStr">
        <is>
          <t>0000100484</t>
        </is>
      </c>
      <c r="C678" s="3" t="n">
        <v>45814</v>
      </c>
      <c r="D678" s="3" t="n">
        <v>45874</v>
      </c>
      <c r="E678" s="4" t="n">
        <v>109.6</v>
      </c>
      <c r="F678">
        <f>Summary!$B$3-D678</f>
        <v/>
      </c>
      <c r="G678">
        <f>IF(D678&gt;Summary!$B$3,"Current",IF(F678&lt;=30,"0-30",IF(F678&lt;=60,"31-60",IF(F678&lt;=90,"61-90","90+"))))</f>
        <v/>
      </c>
    </row>
    <row r="679">
      <c r="A679" t="inlineStr">
        <is>
          <t>0009023427</t>
        </is>
      </c>
      <c r="B679" t="inlineStr">
        <is>
          <t>0000100490</t>
        </is>
      </c>
      <c r="C679" s="3" t="n">
        <v>45811</v>
      </c>
      <c r="D679" s="3" t="n">
        <v>45841</v>
      </c>
      <c r="E679" s="4" t="n">
        <v>9536.639999999999</v>
      </c>
      <c r="F679">
        <f>Summary!$B$3-D679</f>
        <v/>
      </c>
      <c r="G679">
        <f>IF(D679&gt;Summary!$B$3,"Current",IF(F679&lt;=30,"0-30",IF(F679&lt;=60,"31-60",IF(F679&lt;=90,"61-90","90+"))))</f>
        <v/>
      </c>
    </row>
    <row r="680">
      <c r="A680" t="inlineStr">
        <is>
          <t>0009023441</t>
        </is>
      </c>
      <c r="B680" t="inlineStr">
        <is>
          <t>0000100099</t>
        </is>
      </c>
      <c r="C680" s="3" t="n">
        <v>45817</v>
      </c>
      <c r="D680" s="3" t="n">
        <v>45847</v>
      </c>
      <c r="E680" s="4" t="n">
        <v>356.64</v>
      </c>
      <c r="F680">
        <f>Summary!$B$3-D680</f>
        <v/>
      </c>
      <c r="G680">
        <f>IF(D680&gt;Summary!$B$3,"Current",IF(F680&lt;=30,"0-30",IF(F680&lt;=60,"31-60",IF(F680&lt;=90,"61-90","90+"))))</f>
        <v/>
      </c>
    </row>
    <row r="681">
      <c r="A681" t="inlineStr">
        <is>
          <t>0009023455</t>
        </is>
      </c>
      <c r="B681" t="inlineStr">
        <is>
          <t>0000100394</t>
        </is>
      </c>
      <c r="C681" s="3" t="n">
        <v>45822</v>
      </c>
      <c r="D681" s="3" t="n">
        <v>45882</v>
      </c>
      <c r="E681" s="4" t="n">
        <v>962.97</v>
      </c>
      <c r="F681">
        <f>Summary!$B$3-D681</f>
        <v/>
      </c>
      <c r="G681">
        <f>IF(D681&gt;Summary!$B$3,"Current",IF(F681&lt;=30,"0-30",IF(F681&lt;=60,"31-60",IF(F681&lt;=90,"61-90","90+"))))</f>
        <v/>
      </c>
    </row>
    <row r="682">
      <c r="A682" t="inlineStr">
        <is>
          <t>0009023474</t>
        </is>
      </c>
      <c r="B682" t="inlineStr">
        <is>
          <t>0000100223</t>
        </is>
      </c>
      <c r="C682" s="3" t="n">
        <v>45818</v>
      </c>
      <c r="D682" s="3" t="n">
        <v>45863</v>
      </c>
      <c r="E682" s="4" t="n">
        <v>1003.1</v>
      </c>
      <c r="F682">
        <f>Summary!$B$3-D682</f>
        <v/>
      </c>
      <c r="G682">
        <f>IF(D682&gt;Summary!$B$3,"Current",IF(F682&lt;=30,"0-30",IF(F682&lt;=60,"31-60",IF(F682&lt;=90,"61-90","90+"))))</f>
        <v/>
      </c>
    </row>
    <row r="683">
      <c r="A683" t="inlineStr">
        <is>
          <t>0009023478</t>
        </is>
      </c>
      <c r="B683" t="inlineStr">
        <is>
          <t>0000100294</t>
        </is>
      </c>
      <c r="C683" s="3" t="n">
        <v>45820</v>
      </c>
      <c r="D683" s="3" t="n">
        <v>45865</v>
      </c>
      <c r="E683" s="4" t="n">
        <v>904.75</v>
      </c>
      <c r="F683">
        <f>Summary!$B$3-D683</f>
        <v/>
      </c>
      <c r="G683">
        <f>IF(D683&gt;Summary!$B$3,"Current",IF(F683&lt;=30,"0-30",IF(F683&lt;=60,"31-60",IF(F683&lt;=90,"61-90","90+"))))</f>
        <v/>
      </c>
    </row>
    <row r="684">
      <c r="A684" t="inlineStr">
        <is>
          <t>0009023525</t>
        </is>
      </c>
      <c r="B684" t="inlineStr">
        <is>
          <t>0000100339</t>
        </is>
      </c>
      <c r="C684" s="3" t="n">
        <v>45815</v>
      </c>
      <c r="D684" s="3" t="n">
        <v>45845</v>
      </c>
      <c r="E684" s="4" t="n">
        <v>69.68000000000001</v>
      </c>
      <c r="F684">
        <f>Summary!$B$3-D684</f>
        <v/>
      </c>
      <c r="G684">
        <f>IF(D684&gt;Summary!$B$3,"Current",IF(F684&lt;=30,"0-30",IF(F684&lt;=60,"31-60",IF(F684&lt;=90,"61-90","90+"))))</f>
        <v/>
      </c>
    </row>
    <row r="685">
      <c r="A685" t="inlineStr">
        <is>
          <t>0009023556</t>
        </is>
      </c>
      <c r="B685" t="inlineStr">
        <is>
          <t>0000100313</t>
        </is>
      </c>
      <c r="C685" s="3" t="n">
        <v>45827</v>
      </c>
      <c r="D685" s="3" t="n">
        <v>45887</v>
      </c>
      <c r="E685" s="4" t="n">
        <v>1959.13</v>
      </c>
      <c r="F685">
        <f>Summary!$B$3-D685</f>
        <v/>
      </c>
      <c r="G685">
        <f>IF(D685&gt;Summary!$B$3,"Current",IF(F685&lt;=30,"0-30",IF(F685&lt;=60,"31-60",IF(F685&lt;=90,"61-90","90+"))))</f>
        <v/>
      </c>
    </row>
    <row r="686">
      <c r="A686" t="inlineStr">
        <is>
          <t>0009023593</t>
        </is>
      </c>
      <c r="B686" t="inlineStr">
        <is>
          <t>0000100312</t>
        </is>
      </c>
      <c r="C686" s="3" t="n">
        <v>45818</v>
      </c>
      <c r="D686" s="3" t="n">
        <v>45878</v>
      </c>
      <c r="E686" s="4" t="n">
        <v>2984.48</v>
      </c>
      <c r="F686">
        <f>Summary!$B$3-D686</f>
        <v/>
      </c>
      <c r="G686">
        <f>IF(D686&gt;Summary!$B$3,"Current",IF(F686&lt;=30,"0-30",IF(F686&lt;=60,"31-60",IF(F686&lt;=90,"61-90","90+"))))</f>
        <v/>
      </c>
    </row>
    <row r="687">
      <c r="A687" t="inlineStr">
        <is>
          <t>0009023645</t>
        </is>
      </c>
      <c r="B687" t="inlineStr">
        <is>
          <t>0000100020</t>
        </is>
      </c>
      <c r="C687" s="3" t="n">
        <v>45826</v>
      </c>
      <c r="D687" s="3" t="n">
        <v>45871</v>
      </c>
      <c r="E687" s="4" t="n">
        <v>415.61</v>
      </c>
      <c r="F687">
        <f>Summary!$B$3-D687</f>
        <v/>
      </c>
      <c r="G687">
        <f>IF(D687&gt;Summary!$B$3,"Current",IF(F687&lt;=30,"0-30",IF(F687&lt;=60,"31-60",IF(F687&lt;=90,"61-90","90+"))))</f>
        <v/>
      </c>
    </row>
    <row r="688">
      <c r="A688" t="inlineStr">
        <is>
          <t>0009023648</t>
        </is>
      </c>
      <c r="B688" t="inlineStr">
        <is>
          <t>0000100097</t>
        </is>
      </c>
      <c r="C688" s="3" t="n">
        <v>45828</v>
      </c>
      <c r="D688" s="3" t="n">
        <v>45873</v>
      </c>
      <c r="E688" s="4" t="n">
        <v>3252.63</v>
      </c>
      <c r="F688">
        <f>Summary!$B$3-D688</f>
        <v/>
      </c>
      <c r="G688">
        <f>IF(D688&gt;Summary!$B$3,"Current",IF(F688&lt;=30,"0-30",IF(F688&lt;=60,"31-60",IF(F688&lt;=90,"61-90","90+"))))</f>
        <v/>
      </c>
    </row>
    <row r="689">
      <c r="A689" t="inlineStr">
        <is>
          <t>0009023662</t>
        </is>
      </c>
      <c r="B689" t="inlineStr">
        <is>
          <t>0000100262</t>
        </is>
      </c>
      <c r="C689" s="3" t="n">
        <v>45823</v>
      </c>
      <c r="D689" s="3" t="n">
        <v>45868</v>
      </c>
      <c r="E689" s="4" t="n">
        <v>670.63</v>
      </c>
      <c r="F689">
        <f>Summary!$B$3-D689</f>
        <v/>
      </c>
      <c r="G689">
        <f>IF(D689&gt;Summary!$B$3,"Current",IF(F689&lt;=30,"0-30",IF(F689&lt;=60,"31-60",IF(F689&lt;=90,"61-90","90+"))))</f>
        <v/>
      </c>
    </row>
    <row r="690">
      <c r="A690" t="inlineStr">
        <is>
          <t>0009023664</t>
        </is>
      </c>
      <c r="B690" t="inlineStr">
        <is>
          <t>0000100365</t>
        </is>
      </c>
      <c r="C690" s="3" t="n">
        <v>45822</v>
      </c>
      <c r="D690" s="3" t="n">
        <v>45852</v>
      </c>
      <c r="E690" s="4" t="n">
        <v>2667.88</v>
      </c>
      <c r="F690">
        <f>Summary!$B$3-D690</f>
        <v/>
      </c>
      <c r="G690">
        <f>IF(D690&gt;Summary!$B$3,"Current",IF(F690&lt;=30,"0-30",IF(F690&lt;=60,"31-60",IF(F690&lt;=90,"61-90","90+"))))</f>
        <v/>
      </c>
    </row>
    <row r="691">
      <c r="A691" t="inlineStr">
        <is>
          <t>0009023684</t>
        </is>
      </c>
      <c r="B691" t="inlineStr">
        <is>
          <t>0000100125</t>
        </is>
      </c>
      <c r="C691" s="3" t="n">
        <v>45827</v>
      </c>
      <c r="D691" s="3" t="n">
        <v>45857</v>
      </c>
      <c r="E691" s="4" t="n">
        <v>365.37</v>
      </c>
      <c r="F691">
        <f>Summary!$B$3-D691</f>
        <v/>
      </c>
      <c r="G691">
        <f>IF(D691&gt;Summary!$B$3,"Current",IF(F691&lt;=30,"0-30",IF(F691&lt;=60,"31-60",IF(F691&lt;=90,"61-90","90+"))))</f>
        <v/>
      </c>
    </row>
    <row r="692">
      <c r="A692" t="inlineStr">
        <is>
          <t>0009023704</t>
        </is>
      </c>
      <c r="B692" t="inlineStr">
        <is>
          <t>0000100543</t>
        </is>
      </c>
      <c r="C692" s="3" t="n">
        <v>45823</v>
      </c>
      <c r="D692" s="3" t="n">
        <v>45883</v>
      </c>
      <c r="E692" s="4" t="n">
        <v>973.52</v>
      </c>
      <c r="F692">
        <f>Summary!$B$3-D692</f>
        <v/>
      </c>
      <c r="G692">
        <f>IF(D692&gt;Summary!$B$3,"Current",IF(F692&lt;=30,"0-30",IF(F692&lt;=60,"31-60",IF(F692&lt;=90,"61-90","90+"))))</f>
        <v/>
      </c>
    </row>
    <row r="693">
      <c r="A693" t="inlineStr">
        <is>
          <t>0009023711</t>
        </is>
      </c>
      <c r="B693" t="inlineStr">
        <is>
          <t>0000100058</t>
        </is>
      </c>
      <c r="C693" s="3" t="n">
        <v>45828</v>
      </c>
      <c r="D693" s="3" t="n">
        <v>45873</v>
      </c>
      <c r="E693" s="4" t="n">
        <v>2136.69</v>
      </c>
      <c r="F693">
        <f>Summary!$B$3-D693</f>
        <v/>
      </c>
      <c r="G693">
        <f>IF(D693&gt;Summary!$B$3,"Current",IF(F693&lt;=30,"0-30",IF(F693&lt;=60,"31-60",IF(F693&lt;=90,"61-90","90+"))))</f>
        <v/>
      </c>
    </row>
    <row r="694">
      <c r="A694" t="inlineStr">
        <is>
          <t>0009023725</t>
        </is>
      </c>
      <c r="B694" t="inlineStr">
        <is>
          <t>0000100260</t>
        </is>
      </c>
      <c r="C694" s="3" t="n">
        <v>45822</v>
      </c>
      <c r="D694" s="3" t="n">
        <v>45867</v>
      </c>
      <c r="E694" s="4" t="n">
        <v>505.59</v>
      </c>
      <c r="F694">
        <f>Summary!$B$3-D694</f>
        <v/>
      </c>
      <c r="G694">
        <f>IF(D694&gt;Summary!$B$3,"Current",IF(F694&lt;=30,"0-30",IF(F694&lt;=60,"31-60",IF(F694&lt;=90,"61-90","90+"))))</f>
        <v/>
      </c>
    </row>
    <row r="695">
      <c r="A695" t="inlineStr">
        <is>
          <t>0009023733</t>
        </is>
      </c>
      <c r="B695" t="inlineStr">
        <is>
          <t>0000100095</t>
        </is>
      </c>
      <c r="C695" s="3" t="n">
        <v>45822</v>
      </c>
      <c r="D695" s="3" t="n">
        <v>45867</v>
      </c>
      <c r="E695" s="4" t="n">
        <v>848.64</v>
      </c>
      <c r="F695">
        <f>Summary!$B$3-D695</f>
        <v/>
      </c>
      <c r="G695">
        <f>IF(D695&gt;Summary!$B$3,"Current",IF(F695&lt;=30,"0-30",IF(F695&lt;=60,"31-60",IF(F695&lt;=90,"61-90","90+"))))</f>
        <v/>
      </c>
    </row>
    <row r="696">
      <c r="A696" t="inlineStr">
        <is>
          <t>0009023742</t>
        </is>
      </c>
      <c r="B696" t="inlineStr">
        <is>
          <t>0000100052</t>
        </is>
      </c>
      <c r="C696" s="3" t="n">
        <v>45829</v>
      </c>
      <c r="D696" s="3" t="n">
        <v>45874</v>
      </c>
      <c r="E696" s="4" t="n">
        <v>77.55</v>
      </c>
      <c r="F696">
        <f>Summary!$B$3-D696</f>
        <v/>
      </c>
      <c r="G696">
        <f>IF(D696&gt;Summary!$B$3,"Current",IF(F696&lt;=30,"0-30",IF(F696&lt;=60,"31-60",IF(F696&lt;=90,"61-90","90+"))))</f>
        <v/>
      </c>
    </row>
    <row r="697">
      <c r="A697" t="inlineStr">
        <is>
          <t>0009023751</t>
        </is>
      </c>
      <c r="B697" t="inlineStr">
        <is>
          <t>0000100312</t>
        </is>
      </c>
      <c r="C697" s="3" t="n">
        <v>45834</v>
      </c>
      <c r="D697" s="3" t="n">
        <v>45894</v>
      </c>
      <c r="E697" s="4" t="n">
        <v>1460.2</v>
      </c>
      <c r="F697">
        <f>Summary!$B$3-D697</f>
        <v/>
      </c>
      <c r="G697">
        <f>IF(D697&gt;Summary!$B$3,"Current",IF(F697&lt;=30,"0-30",IF(F697&lt;=60,"31-60",IF(F697&lt;=90,"61-90","90+"))))</f>
        <v/>
      </c>
    </row>
    <row r="698">
      <c r="A698" t="inlineStr">
        <is>
          <t>0009023793</t>
        </is>
      </c>
      <c r="B698" t="inlineStr">
        <is>
          <t>0000100360</t>
        </is>
      </c>
      <c r="C698" s="3" t="n">
        <v>45824</v>
      </c>
      <c r="D698" s="3" t="n">
        <v>45869</v>
      </c>
      <c r="E698" s="4" t="n">
        <v>2115.64</v>
      </c>
      <c r="F698">
        <f>Summary!$B$3-D698</f>
        <v/>
      </c>
      <c r="G698">
        <f>IF(D698&gt;Summary!$B$3,"Current",IF(F698&lt;=30,"0-30",IF(F698&lt;=60,"31-60",IF(F698&lt;=90,"61-90","90+"))))</f>
        <v/>
      </c>
    </row>
    <row r="699">
      <c r="A699" t="inlineStr">
        <is>
          <t>0009023801</t>
        </is>
      </c>
      <c r="B699" t="inlineStr">
        <is>
          <t>0000100588</t>
        </is>
      </c>
      <c r="C699" s="3" t="n">
        <v>45824</v>
      </c>
      <c r="D699" s="3" t="n">
        <v>45854</v>
      </c>
      <c r="E699" s="4" t="n">
        <v>990.9</v>
      </c>
      <c r="F699">
        <f>Summary!$B$3-D699</f>
        <v/>
      </c>
      <c r="G699">
        <f>IF(D699&gt;Summary!$B$3,"Current",IF(F699&lt;=30,"0-30",IF(F699&lt;=60,"31-60",IF(F699&lt;=90,"61-90","90+"))))</f>
        <v/>
      </c>
    </row>
    <row r="700">
      <c r="A700" t="inlineStr">
        <is>
          <t>0009023814</t>
        </is>
      </c>
      <c r="B700" t="inlineStr">
        <is>
          <t>0000100156</t>
        </is>
      </c>
      <c r="C700" s="3" t="n">
        <v>45833</v>
      </c>
      <c r="D700" s="3" t="n">
        <v>45863</v>
      </c>
      <c r="E700" s="4" t="n">
        <v>978.02</v>
      </c>
      <c r="F700">
        <f>Summary!$B$3-D700</f>
        <v/>
      </c>
      <c r="G700">
        <f>IF(D700&gt;Summary!$B$3,"Current",IF(F700&lt;=30,"0-30",IF(F700&lt;=60,"31-60",IF(F700&lt;=90,"61-90","90+"))))</f>
        <v/>
      </c>
    </row>
    <row r="701">
      <c r="A701" t="inlineStr">
        <is>
          <t>0009023896</t>
        </is>
      </c>
      <c r="B701" t="inlineStr">
        <is>
          <t>0000100513</t>
        </is>
      </c>
      <c r="C701" s="3" t="n">
        <v>45835</v>
      </c>
      <c r="D701" s="3" t="n">
        <v>45895</v>
      </c>
      <c r="E701" s="4" t="n">
        <v>286.27</v>
      </c>
      <c r="F701">
        <f>Summary!$B$3-D701</f>
        <v/>
      </c>
      <c r="G701">
        <f>IF(D701&gt;Summary!$B$3,"Current",IF(F701&lt;=30,"0-30",IF(F701&lt;=60,"31-60",IF(F701&lt;=90,"61-90","90+"))))</f>
        <v/>
      </c>
    </row>
    <row r="702">
      <c r="A702" t="inlineStr">
        <is>
          <t>0009023994</t>
        </is>
      </c>
      <c r="B702" t="inlineStr">
        <is>
          <t>0000100219</t>
        </is>
      </c>
      <c r="C702" s="3" t="n">
        <v>45831</v>
      </c>
      <c r="D702" s="3" t="n">
        <v>45861</v>
      </c>
      <c r="E702" s="4" t="n">
        <v>1447.67</v>
      </c>
      <c r="F702">
        <f>Summary!$B$3-D702</f>
        <v/>
      </c>
      <c r="G702">
        <f>IF(D702&gt;Summary!$B$3,"Current",IF(F702&lt;=30,"0-30",IF(F702&lt;=60,"31-60",IF(F702&lt;=90,"61-90","90+"))))</f>
        <v/>
      </c>
    </row>
    <row r="703">
      <c r="A703" t="inlineStr">
        <is>
          <t>0009024059</t>
        </is>
      </c>
      <c r="B703" t="inlineStr">
        <is>
          <t>0000100279</t>
        </is>
      </c>
      <c r="C703" s="3" t="n">
        <v>45838</v>
      </c>
      <c r="D703" s="3" t="n">
        <v>45883</v>
      </c>
      <c r="E703" s="4" t="n">
        <v>2351.54</v>
      </c>
      <c r="F703">
        <f>Summary!$B$3-D703</f>
        <v/>
      </c>
      <c r="G703">
        <f>IF(D703&gt;Summary!$B$3,"Current",IF(F703&lt;=30,"0-30",IF(F703&lt;=60,"31-60",IF(F703&lt;=90,"61-90","90+"))))</f>
        <v/>
      </c>
    </row>
    <row r="704">
      <c r="A704" t="inlineStr">
        <is>
          <t>0009024065</t>
        </is>
      </c>
      <c r="B704" t="inlineStr">
        <is>
          <t>0000100434</t>
        </is>
      </c>
      <c r="C704" s="3" t="n">
        <v>45836</v>
      </c>
      <c r="D704" s="3" t="n">
        <v>45866</v>
      </c>
      <c r="E704" s="4" t="n">
        <v>637.98</v>
      </c>
      <c r="F704">
        <f>Summary!$B$3-D704</f>
        <v/>
      </c>
      <c r="G704">
        <f>IF(D704&gt;Summary!$B$3,"Current",IF(F704&lt;=30,"0-30",IF(F704&lt;=60,"31-60",IF(F704&lt;=90,"61-90","90+"))))</f>
        <v/>
      </c>
    </row>
    <row r="705">
      <c r="A705" t="inlineStr">
        <is>
          <t>0009024086</t>
        </is>
      </c>
      <c r="B705" t="inlineStr">
        <is>
          <t>0000100002</t>
        </is>
      </c>
      <c r="C705" s="3" t="n">
        <v>45838</v>
      </c>
      <c r="D705" s="3" t="n">
        <v>45898</v>
      </c>
      <c r="E705" s="4" t="n">
        <v>1031.96</v>
      </c>
      <c r="F705">
        <f>Summary!$B$3-D705</f>
        <v/>
      </c>
      <c r="G705">
        <f>IF(D705&gt;Summary!$B$3,"Current",IF(F705&lt;=30,"0-30",IF(F705&lt;=60,"31-60",IF(F705&lt;=90,"61-90","90+"))))</f>
        <v/>
      </c>
    </row>
    <row r="706">
      <c r="A706" t="inlineStr">
        <is>
          <t>0009024131</t>
        </is>
      </c>
      <c r="B706" t="inlineStr">
        <is>
          <t>0000100070</t>
        </is>
      </c>
      <c r="C706" s="3" t="n">
        <v>45838</v>
      </c>
      <c r="D706" s="3" t="n">
        <v>45868</v>
      </c>
      <c r="E706" s="4" t="n">
        <v>195.1</v>
      </c>
      <c r="F706">
        <f>Summary!$B$3-D706</f>
        <v/>
      </c>
      <c r="G706">
        <f>IF(D706&gt;Summary!$B$3,"Current",IF(F706&lt;=30,"0-30",IF(F706&lt;=60,"31-60",IF(F706&lt;=90,"61-90","90+"))))</f>
        <v/>
      </c>
    </row>
    <row r="707">
      <c r="A707" t="inlineStr">
        <is>
          <t>0009024161</t>
        </is>
      </c>
      <c r="B707" t="inlineStr">
        <is>
          <t>0000100204</t>
        </is>
      </c>
      <c r="C707" s="3" t="n">
        <v>45836</v>
      </c>
      <c r="D707" s="3" t="n">
        <v>45866</v>
      </c>
      <c r="E707" s="4" t="n">
        <v>773.91</v>
      </c>
      <c r="F707">
        <f>Summary!$B$3-D707</f>
        <v/>
      </c>
      <c r="G707">
        <f>IF(D707&gt;Summary!$B$3,"Current",IF(F707&lt;=30,"0-30",IF(F707&lt;=60,"31-60",IF(F707&lt;=90,"61-90","90+"))))</f>
        <v/>
      </c>
    </row>
    <row r="708">
      <c r="A708" t="inlineStr">
        <is>
          <t>0009024186</t>
        </is>
      </c>
      <c r="B708" t="inlineStr">
        <is>
          <t>0000100000</t>
        </is>
      </c>
      <c r="C708" s="3" t="n">
        <v>45842</v>
      </c>
      <c r="D708" s="3" t="n">
        <v>45872</v>
      </c>
      <c r="E708" s="4" t="n">
        <v>2034.31</v>
      </c>
      <c r="F708">
        <f>Summary!$B$3-D708</f>
        <v/>
      </c>
      <c r="G708">
        <f>IF(D708&gt;Summary!$B$3,"Current",IF(F708&lt;=30,"0-30",IF(F708&lt;=60,"31-60",IF(F708&lt;=90,"61-90","90+"))))</f>
        <v/>
      </c>
    </row>
    <row r="709">
      <c r="A709" t="inlineStr">
        <is>
          <t>0009024194</t>
        </is>
      </c>
      <c r="B709" t="inlineStr">
        <is>
          <t>0000100028</t>
        </is>
      </c>
      <c r="C709" s="3" t="n">
        <v>45838</v>
      </c>
      <c r="D709" s="3" t="n">
        <v>45883</v>
      </c>
      <c r="E709" s="4" t="n">
        <v>1296.86</v>
      </c>
      <c r="F709">
        <f>Summary!$B$3-D709</f>
        <v/>
      </c>
      <c r="G709">
        <f>IF(D709&gt;Summary!$B$3,"Current",IF(F709&lt;=30,"0-30",IF(F709&lt;=60,"31-60",IF(F709&lt;=90,"61-90","90+"))))</f>
        <v/>
      </c>
    </row>
    <row r="710">
      <c r="A710" t="inlineStr">
        <is>
          <t>0009024197</t>
        </is>
      </c>
      <c r="B710" t="inlineStr">
        <is>
          <t>0000100085</t>
        </is>
      </c>
      <c r="C710" s="3" t="n">
        <v>45843</v>
      </c>
      <c r="D710" s="3" t="n">
        <v>45873</v>
      </c>
      <c r="E710" s="4" t="n">
        <v>389.96</v>
      </c>
      <c r="F710">
        <f>Summary!$B$3-D710</f>
        <v/>
      </c>
      <c r="G710">
        <f>IF(D710&gt;Summary!$B$3,"Current",IF(F710&lt;=30,"0-30",IF(F710&lt;=60,"31-60",IF(F710&lt;=90,"61-90","90+"))))</f>
        <v/>
      </c>
    </row>
    <row r="711">
      <c r="A711" t="inlineStr">
        <is>
          <t>0009024242</t>
        </is>
      </c>
      <c r="B711" t="inlineStr">
        <is>
          <t>0000100543</t>
        </is>
      </c>
      <c r="C711" s="3" t="n">
        <v>45847</v>
      </c>
      <c r="D711" s="3" t="n">
        <v>45907</v>
      </c>
      <c r="E711" s="4" t="n">
        <v>30.29</v>
      </c>
      <c r="F711">
        <f>Summary!$B$3-D711</f>
        <v/>
      </c>
      <c r="G711">
        <f>IF(D711&gt;Summary!$B$3,"Current",IF(F711&lt;=30,"0-30",IF(F711&lt;=60,"31-60",IF(F711&lt;=90,"61-90","90+"))))</f>
        <v/>
      </c>
    </row>
    <row r="712">
      <c r="A712" t="inlineStr">
        <is>
          <t>0009024268</t>
        </is>
      </c>
      <c r="B712" t="inlineStr">
        <is>
          <t>0000100192</t>
        </is>
      </c>
      <c r="C712" s="3" t="n">
        <v>45842</v>
      </c>
      <c r="D712" s="3" t="n">
        <v>45872</v>
      </c>
      <c r="E712" s="4" t="n">
        <v>410.47</v>
      </c>
      <c r="F712">
        <f>Summary!$B$3-D712</f>
        <v/>
      </c>
      <c r="G712">
        <f>IF(D712&gt;Summary!$B$3,"Current",IF(F712&lt;=30,"0-30",IF(F712&lt;=60,"31-60",IF(F712&lt;=90,"61-90","90+"))))</f>
        <v/>
      </c>
    </row>
    <row r="713">
      <c r="A713" t="inlineStr">
        <is>
          <t>0009024289</t>
        </is>
      </c>
      <c r="B713" t="inlineStr">
        <is>
          <t>0000100386</t>
        </is>
      </c>
      <c r="C713" s="3" t="n">
        <v>45843</v>
      </c>
      <c r="D713" s="3" t="n">
        <v>45873</v>
      </c>
      <c r="E713" s="4" t="n">
        <v>267.24</v>
      </c>
      <c r="F713">
        <f>Summary!$B$3-D713</f>
        <v/>
      </c>
      <c r="G713">
        <f>IF(D713&gt;Summary!$B$3,"Current",IF(F713&lt;=30,"0-30",IF(F713&lt;=60,"31-60",IF(F713&lt;=90,"61-90","90+"))))</f>
        <v/>
      </c>
    </row>
    <row r="714">
      <c r="A714" t="inlineStr">
        <is>
          <t>0009024308</t>
        </is>
      </c>
      <c r="B714" t="inlineStr">
        <is>
          <t>0000100058</t>
        </is>
      </c>
      <c r="C714" s="3" t="n">
        <v>45846</v>
      </c>
      <c r="D714" s="3" t="n">
        <v>45891</v>
      </c>
      <c r="E714" s="4" t="n">
        <v>4008.2</v>
      </c>
      <c r="F714">
        <f>Summary!$B$3-D714</f>
        <v/>
      </c>
      <c r="G714">
        <f>IF(D714&gt;Summary!$B$3,"Current",IF(F714&lt;=30,"0-30",IF(F714&lt;=60,"31-60",IF(F714&lt;=90,"61-90","90+"))))</f>
        <v/>
      </c>
    </row>
    <row r="715">
      <c r="A715" t="inlineStr">
        <is>
          <t>0009024309</t>
        </is>
      </c>
      <c r="B715" t="inlineStr">
        <is>
          <t>0000100484</t>
        </is>
      </c>
      <c r="C715" s="3" t="n">
        <v>45844</v>
      </c>
      <c r="D715" s="3" t="n">
        <v>45904</v>
      </c>
      <c r="E715" s="4" t="n">
        <v>245.84</v>
      </c>
      <c r="F715">
        <f>Summary!$B$3-D715</f>
        <v/>
      </c>
      <c r="G715">
        <f>IF(D715&gt;Summary!$B$3,"Current",IF(F715&lt;=30,"0-30",IF(F715&lt;=60,"31-60",IF(F715&lt;=90,"61-90","90+"))))</f>
        <v/>
      </c>
    </row>
    <row r="716">
      <c r="A716" t="inlineStr">
        <is>
          <t>0009024317</t>
        </is>
      </c>
      <c r="B716" t="inlineStr">
        <is>
          <t>0000100006</t>
        </is>
      </c>
      <c r="C716" s="3" t="n">
        <v>45844</v>
      </c>
      <c r="D716" s="3" t="n">
        <v>45904</v>
      </c>
      <c r="E716" s="4" t="n">
        <v>3622.02</v>
      </c>
      <c r="F716">
        <f>Summary!$B$3-D716</f>
        <v/>
      </c>
      <c r="G716">
        <f>IF(D716&gt;Summary!$B$3,"Current",IF(F716&lt;=30,"0-30",IF(F716&lt;=60,"31-60",IF(F716&lt;=90,"61-90","90+"))))</f>
        <v/>
      </c>
    </row>
    <row r="717">
      <c r="A717" t="inlineStr">
        <is>
          <t>0009024328</t>
        </is>
      </c>
      <c r="B717" t="inlineStr">
        <is>
          <t>0000100412</t>
        </is>
      </c>
      <c r="C717" s="3" t="n">
        <v>45842</v>
      </c>
      <c r="D717" s="3" t="n">
        <v>45872</v>
      </c>
      <c r="E717" s="4" t="n">
        <v>95.5</v>
      </c>
      <c r="F717">
        <f>Summary!$B$3-D717</f>
        <v/>
      </c>
      <c r="G717">
        <f>IF(D717&gt;Summary!$B$3,"Current",IF(F717&lt;=30,"0-30",IF(F717&lt;=60,"31-60",IF(F717&lt;=90,"61-90","90+"))))</f>
        <v/>
      </c>
    </row>
    <row r="718">
      <c r="A718" t="inlineStr">
        <is>
          <t>0009024359</t>
        </is>
      </c>
      <c r="B718" t="inlineStr">
        <is>
          <t>0000100185</t>
        </is>
      </c>
      <c r="C718" s="3" t="n">
        <v>45846</v>
      </c>
      <c r="D718" s="3" t="n">
        <v>45876</v>
      </c>
      <c r="E718" s="4" t="n">
        <v>856.76</v>
      </c>
      <c r="F718">
        <f>Summary!$B$3-D718</f>
        <v/>
      </c>
      <c r="G718">
        <f>IF(D718&gt;Summary!$B$3,"Current",IF(F718&lt;=30,"0-30",IF(F718&lt;=60,"31-60",IF(F718&lt;=90,"61-90","90+"))))</f>
        <v/>
      </c>
    </row>
    <row r="719">
      <c r="A719" t="inlineStr">
        <is>
          <t>0009024491</t>
        </is>
      </c>
      <c r="B719" t="inlineStr">
        <is>
          <t>0000100525</t>
        </is>
      </c>
      <c r="C719" s="3" t="n">
        <v>45848</v>
      </c>
      <c r="D719" s="3" t="n">
        <v>45893</v>
      </c>
      <c r="E719" s="4" t="n">
        <v>1328.4</v>
      </c>
      <c r="F719">
        <f>Summary!$B$3-D719</f>
        <v/>
      </c>
      <c r="G719">
        <f>IF(D719&gt;Summary!$B$3,"Current",IF(F719&lt;=30,"0-30",IF(F719&lt;=60,"31-60",IF(F719&lt;=90,"61-90","90+"))))</f>
        <v/>
      </c>
    </row>
    <row r="720">
      <c r="A720" t="inlineStr">
        <is>
          <t>0009024580</t>
        </is>
      </c>
      <c r="B720" t="inlineStr">
        <is>
          <t>0000100424</t>
        </is>
      </c>
      <c r="C720" s="3" t="n">
        <v>45855</v>
      </c>
      <c r="D720" s="3" t="n">
        <v>45900</v>
      </c>
      <c r="E720" s="4" t="n">
        <v>1482.69</v>
      </c>
      <c r="F720">
        <f>Summary!$B$3-D720</f>
        <v/>
      </c>
      <c r="G720">
        <f>IF(D720&gt;Summary!$B$3,"Current",IF(F720&lt;=30,"0-30",IF(F720&lt;=60,"31-60",IF(F720&lt;=90,"61-90","90+"))))</f>
        <v/>
      </c>
    </row>
    <row r="721">
      <c r="A721" t="inlineStr">
        <is>
          <t>0009024592</t>
        </is>
      </c>
      <c r="B721" t="inlineStr">
        <is>
          <t>0000100586</t>
        </is>
      </c>
      <c r="C721" s="3" t="n">
        <v>45859</v>
      </c>
      <c r="D721" s="3" t="n">
        <v>45889</v>
      </c>
      <c r="E721" s="4" t="n">
        <v>103.19</v>
      </c>
      <c r="F721">
        <f>Summary!$B$3-D721</f>
        <v/>
      </c>
      <c r="G721">
        <f>IF(D721&gt;Summary!$B$3,"Current",IF(F721&lt;=30,"0-30",IF(F721&lt;=60,"31-60",IF(F721&lt;=90,"61-90","90+"))))</f>
        <v/>
      </c>
    </row>
    <row r="722">
      <c r="A722" t="inlineStr">
        <is>
          <t>0009024647</t>
        </is>
      </c>
      <c r="B722" t="inlineStr">
        <is>
          <t>0000100046</t>
        </is>
      </c>
      <c r="C722" s="3" t="n">
        <v>45859</v>
      </c>
      <c r="D722" s="3" t="n">
        <v>45889</v>
      </c>
      <c r="E722" s="4" t="n">
        <v>4777.66</v>
      </c>
      <c r="F722">
        <f>Summary!$B$3-D722</f>
        <v/>
      </c>
      <c r="G722">
        <f>IF(D722&gt;Summary!$B$3,"Current",IF(F722&lt;=30,"0-30",IF(F722&lt;=60,"31-60",IF(F722&lt;=90,"61-90","90+"))))</f>
        <v/>
      </c>
    </row>
    <row r="723">
      <c r="A723" t="inlineStr">
        <is>
          <t>0009024678</t>
        </is>
      </c>
      <c r="B723" t="inlineStr">
        <is>
          <t>0000100293</t>
        </is>
      </c>
      <c r="C723" s="3" t="n">
        <v>45858</v>
      </c>
      <c r="D723" s="3" t="n">
        <v>45888</v>
      </c>
      <c r="E723" s="4" t="n">
        <v>1256.91</v>
      </c>
      <c r="F723">
        <f>Summary!$B$3-D723</f>
        <v/>
      </c>
      <c r="G723">
        <f>IF(D723&gt;Summary!$B$3,"Current",IF(F723&lt;=30,"0-30",IF(F723&lt;=60,"31-60",IF(F723&lt;=90,"61-90","90+"))))</f>
        <v/>
      </c>
    </row>
    <row r="724">
      <c r="A724" t="inlineStr">
        <is>
          <t>0009024707</t>
        </is>
      </c>
      <c r="B724" t="inlineStr">
        <is>
          <t>0000100249</t>
        </is>
      </c>
      <c r="C724" s="3" t="n">
        <v>45857</v>
      </c>
      <c r="D724" s="3" t="n">
        <v>45917</v>
      </c>
      <c r="E724" s="4" t="n">
        <v>391.77</v>
      </c>
      <c r="F724">
        <f>Summary!$B$3-D724</f>
        <v/>
      </c>
      <c r="G724">
        <f>IF(D724&gt;Summary!$B$3,"Current",IF(F724&lt;=30,"0-30",IF(F724&lt;=60,"31-60",IF(F724&lt;=90,"61-90","90+"))))</f>
        <v/>
      </c>
    </row>
    <row r="725">
      <c r="A725" t="inlineStr">
        <is>
          <t>0009024715</t>
        </is>
      </c>
      <c r="B725" t="inlineStr">
        <is>
          <t>0000100297</t>
        </is>
      </c>
      <c r="C725" s="3" t="n">
        <v>45860</v>
      </c>
      <c r="D725" s="3" t="n">
        <v>45890</v>
      </c>
      <c r="E725" s="4" t="n">
        <v>4460.43</v>
      </c>
      <c r="F725">
        <f>Summary!$B$3-D725</f>
        <v/>
      </c>
      <c r="G725">
        <f>IF(D725&gt;Summary!$B$3,"Current",IF(F725&lt;=30,"0-30",IF(F725&lt;=60,"31-60",IF(F725&lt;=90,"61-90","90+"))))</f>
        <v/>
      </c>
    </row>
    <row r="726">
      <c r="A726" t="inlineStr">
        <is>
          <t>0009024739</t>
        </is>
      </c>
      <c r="B726" t="inlineStr">
        <is>
          <t>0000100168</t>
        </is>
      </c>
      <c r="C726" s="3" t="n">
        <v>45861</v>
      </c>
      <c r="D726" s="3" t="n">
        <v>45891</v>
      </c>
      <c r="E726" s="4" t="n">
        <v>26.25</v>
      </c>
      <c r="F726">
        <f>Summary!$B$3-D726</f>
        <v/>
      </c>
      <c r="G726">
        <f>IF(D726&gt;Summary!$B$3,"Current",IF(F726&lt;=30,"0-30",IF(F726&lt;=60,"31-60",IF(F726&lt;=90,"61-90","90+"))))</f>
        <v/>
      </c>
    </row>
    <row r="727">
      <c r="A727" t="inlineStr">
        <is>
          <t>0009024757</t>
        </is>
      </c>
      <c r="B727" t="inlineStr">
        <is>
          <t>0000100260</t>
        </is>
      </c>
      <c r="C727" s="3" t="n">
        <v>45862</v>
      </c>
      <c r="D727" s="3" t="n">
        <v>45907</v>
      </c>
      <c r="E727" s="4" t="n">
        <v>1597.92</v>
      </c>
      <c r="F727">
        <f>Summary!$B$3-D727</f>
        <v/>
      </c>
      <c r="G727">
        <f>IF(D727&gt;Summary!$B$3,"Current",IF(F727&lt;=30,"0-30",IF(F727&lt;=60,"31-60",IF(F727&lt;=90,"61-90","90+"))))</f>
        <v/>
      </c>
    </row>
    <row r="728">
      <c r="A728" t="inlineStr">
        <is>
          <t>0009024765</t>
        </is>
      </c>
      <c r="B728" t="inlineStr">
        <is>
          <t>0000100116</t>
        </is>
      </c>
      <c r="C728" s="3" t="n">
        <v>45861</v>
      </c>
      <c r="D728" s="3" t="n">
        <v>45906</v>
      </c>
      <c r="E728" s="4" t="n">
        <v>2598.94</v>
      </c>
      <c r="F728">
        <f>Summary!$B$3-D728</f>
        <v/>
      </c>
      <c r="G728">
        <f>IF(D728&gt;Summary!$B$3,"Current",IF(F728&lt;=30,"0-30",IF(F728&lt;=60,"31-60",IF(F728&lt;=90,"61-90","90+"))))</f>
        <v/>
      </c>
    </row>
    <row r="729">
      <c r="A729" t="inlineStr">
        <is>
          <t>0009024766</t>
        </is>
      </c>
      <c r="B729" t="inlineStr">
        <is>
          <t>0000100342</t>
        </is>
      </c>
      <c r="C729" s="3" t="n">
        <v>45866</v>
      </c>
      <c r="D729" s="3" t="n">
        <v>45896</v>
      </c>
      <c r="E729" s="4" t="n">
        <v>213.78</v>
      </c>
      <c r="F729">
        <f>Summary!$B$3-D729</f>
        <v/>
      </c>
      <c r="G729">
        <f>IF(D729&gt;Summary!$B$3,"Current",IF(F729&lt;=30,"0-30",IF(F729&lt;=60,"31-60",IF(F729&lt;=90,"61-90","90+"))))</f>
        <v/>
      </c>
    </row>
    <row r="730">
      <c r="A730" t="inlineStr">
        <is>
          <t>0009024803</t>
        </is>
      </c>
      <c r="B730" t="inlineStr">
        <is>
          <t>0000100223</t>
        </is>
      </c>
      <c r="C730" s="3" t="n">
        <v>45863</v>
      </c>
      <c r="D730" s="3" t="n">
        <v>45908</v>
      </c>
      <c r="E730" s="4" t="n">
        <v>602.34</v>
      </c>
      <c r="F730">
        <f>Summary!$B$3-D730</f>
        <v/>
      </c>
      <c r="G730">
        <f>IF(D730&gt;Summary!$B$3,"Current",IF(F730&lt;=30,"0-30",IF(F730&lt;=60,"31-60",IF(F730&lt;=90,"61-90","90+"))))</f>
        <v/>
      </c>
    </row>
    <row r="731">
      <c r="A731" t="inlineStr">
        <is>
          <t>0009024840</t>
        </is>
      </c>
      <c r="B731" t="inlineStr">
        <is>
          <t>0000100192</t>
        </is>
      </c>
      <c r="C731" s="3" t="n">
        <v>45864</v>
      </c>
      <c r="D731" s="3" t="n">
        <v>45894</v>
      </c>
      <c r="E731" s="4" t="n">
        <v>2691.64</v>
      </c>
      <c r="F731">
        <f>Summary!$B$3-D731</f>
        <v/>
      </c>
      <c r="G731">
        <f>IF(D731&gt;Summary!$B$3,"Current",IF(F731&lt;=30,"0-30",IF(F731&lt;=60,"31-60",IF(F731&lt;=90,"61-90","90+"))))</f>
        <v/>
      </c>
    </row>
    <row r="732">
      <c r="A732" t="inlineStr">
        <is>
          <t>0009024846</t>
        </is>
      </c>
      <c r="B732" t="inlineStr">
        <is>
          <t>0000100134</t>
        </is>
      </c>
      <c r="C732" s="3" t="n">
        <v>45869</v>
      </c>
      <c r="D732" s="3" t="n">
        <v>45899</v>
      </c>
      <c r="E732" s="4" t="n">
        <v>327.07</v>
      </c>
      <c r="F732">
        <f>Summary!$B$3-D732</f>
        <v/>
      </c>
      <c r="G732">
        <f>IF(D732&gt;Summary!$B$3,"Current",IF(F732&lt;=30,"0-30",IF(F732&lt;=60,"31-60",IF(F732&lt;=90,"61-90","90+"))))</f>
        <v/>
      </c>
    </row>
    <row r="733">
      <c r="A733" t="inlineStr">
        <is>
          <t>0009024941</t>
        </is>
      </c>
      <c r="B733" t="inlineStr">
        <is>
          <t>0000100001</t>
        </is>
      </c>
      <c r="C733" s="3" t="n">
        <v>45867</v>
      </c>
      <c r="D733" s="3" t="n">
        <v>45912</v>
      </c>
      <c r="E733" s="4" t="n">
        <v>134.72</v>
      </c>
      <c r="F733">
        <f>Summary!$B$3-D733</f>
        <v/>
      </c>
      <c r="G733">
        <f>IF(D733&gt;Summary!$B$3,"Current",IF(F733&lt;=30,"0-30",IF(F733&lt;=60,"31-60",IF(F733&lt;=90,"61-90","90+"))))</f>
        <v/>
      </c>
    </row>
    <row r="734">
      <c r="A734" t="inlineStr">
        <is>
          <t>0009025024</t>
        </is>
      </c>
      <c r="B734" t="inlineStr">
        <is>
          <t>0000100326</t>
        </is>
      </c>
      <c r="C734" s="3" t="n">
        <v>45871</v>
      </c>
      <c r="D734" s="3" t="n">
        <v>45901</v>
      </c>
      <c r="E734" s="4" t="n">
        <v>4689.62</v>
      </c>
      <c r="F734">
        <f>Summary!$B$3-D734</f>
        <v/>
      </c>
      <c r="G734">
        <f>IF(D734&gt;Summary!$B$3,"Current",IF(F734&lt;=30,"0-30",IF(F734&lt;=60,"31-60",IF(F734&lt;=90,"61-90","90+"))))</f>
        <v/>
      </c>
    </row>
    <row r="735">
      <c r="A735" t="inlineStr">
        <is>
          <t>0009025035</t>
        </is>
      </c>
      <c r="B735" t="inlineStr">
        <is>
          <t>0000100181</t>
        </is>
      </c>
      <c r="C735" s="3" t="n">
        <v>45880</v>
      </c>
      <c r="D735" s="3" t="n">
        <v>45940</v>
      </c>
      <c r="E735" s="4" t="n">
        <v>1407.88</v>
      </c>
      <c r="F735">
        <f>Summary!$B$3-D735</f>
        <v/>
      </c>
      <c r="G735">
        <f>IF(D735&gt;Summary!$B$3,"Current",IF(F735&lt;=30,"0-30",IF(F735&lt;=60,"31-60",IF(F735&lt;=90,"61-90","90+"))))</f>
        <v/>
      </c>
    </row>
    <row r="736">
      <c r="A736" t="inlineStr">
        <is>
          <t>0009025108</t>
        </is>
      </c>
      <c r="B736" t="inlineStr">
        <is>
          <t>0000100028</t>
        </is>
      </c>
      <c r="C736" s="3" t="n">
        <v>45876</v>
      </c>
      <c r="D736" s="3" t="n">
        <v>45921</v>
      </c>
      <c r="E736" s="4" t="n">
        <v>283.11</v>
      </c>
      <c r="F736">
        <f>Summary!$B$3-D736</f>
        <v/>
      </c>
      <c r="G736">
        <f>IF(D736&gt;Summary!$B$3,"Current",IF(F736&lt;=30,"0-30",IF(F736&lt;=60,"31-60",IF(F736&lt;=90,"61-90","90+"))))</f>
        <v/>
      </c>
    </row>
    <row r="737">
      <c r="A737" t="inlineStr">
        <is>
          <t>0009025161</t>
        </is>
      </c>
      <c r="B737" t="inlineStr">
        <is>
          <t>0000100450</t>
        </is>
      </c>
      <c r="C737" s="3" t="n">
        <v>45879</v>
      </c>
      <c r="D737" s="3" t="n">
        <v>45924</v>
      </c>
      <c r="E737" s="4" t="n">
        <v>4144.91</v>
      </c>
      <c r="F737">
        <f>Summary!$B$3-D737</f>
        <v/>
      </c>
      <c r="G737">
        <f>IF(D737&gt;Summary!$B$3,"Current",IF(F737&lt;=30,"0-30",IF(F737&lt;=60,"31-60",IF(F737&lt;=90,"61-90","90+"))))</f>
        <v/>
      </c>
    </row>
    <row r="738">
      <c r="A738" t="inlineStr">
        <is>
          <t>0009025178</t>
        </is>
      </c>
      <c r="B738" t="inlineStr">
        <is>
          <t>0000100364</t>
        </is>
      </c>
      <c r="C738" s="3" t="n">
        <v>45876</v>
      </c>
      <c r="D738" s="3" t="n">
        <v>45936</v>
      </c>
      <c r="E738" s="4" t="n">
        <v>89.72</v>
      </c>
      <c r="F738">
        <f>Summary!$B$3-D738</f>
        <v/>
      </c>
      <c r="G738">
        <f>IF(D738&gt;Summary!$B$3,"Current",IF(F738&lt;=30,"0-30",IF(F738&lt;=60,"31-60",IF(F738&lt;=90,"61-90","90+"))))</f>
        <v/>
      </c>
    </row>
    <row r="739">
      <c r="A739" t="inlineStr">
        <is>
          <t>0009025188</t>
        </is>
      </c>
      <c r="B739" t="inlineStr">
        <is>
          <t>0000100360</t>
        </is>
      </c>
      <c r="C739" s="3" t="n">
        <v>45887</v>
      </c>
      <c r="D739" s="3" t="n">
        <v>45932</v>
      </c>
      <c r="E739" s="4" t="n">
        <v>117.84</v>
      </c>
      <c r="F739">
        <f>Summary!$B$3-D739</f>
        <v/>
      </c>
      <c r="G739">
        <f>IF(D739&gt;Summary!$B$3,"Current",IF(F739&lt;=30,"0-30",IF(F739&lt;=60,"31-60",IF(F739&lt;=90,"61-90","90+"))))</f>
        <v/>
      </c>
    </row>
    <row r="740">
      <c r="A740" t="inlineStr">
        <is>
          <t>0009025193</t>
        </is>
      </c>
      <c r="B740" t="inlineStr">
        <is>
          <t>0000100229</t>
        </is>
      </c>
      <c r="C740" s="3" t="n">
        <v>45882</v>
      </c>
      <c r="D740" s="3" t="n">
        <v>45912</v>
      </c>
      <c r="E740" s="4" t="n">
        <v>450.16</v>
      </c>
      <c r="F740">
        <f>Summary!$B$3-D740</f>
        <v/>
      </c>
      <c r="G740">
        <f>IF(D740&gt;Summary!$B$3,"Current",IF(F740&lt;=30,"0-30",IF(F740&lt;=60,"31-60",IF(F740&lt;=90,"61-90","90+"))))</f>
        <v/>
      </c>
    </row>
    <row r="741">
      <c r="A741" t="inlineStr">
        <is>
          <t>0009025249</t>
        </is>
      </c>
      <c r="B741" t="inlineStr">
        <is>
          <t>0000100241</t>
        </is>
      </c>
      <c r="C741" s="3" t="n">
        <v>45889</v>
      </c>
      <c r="D741" s="3" t="n">
        <v>45934</v>
      </c>
      <c r="E741" s="4" t="n">
        <v>251.97</v>
      </c>
      <c r="F741">
        <f>Summary!$B$3-D741</f>
        <v/>
      </c>
      <c r="G741">
        <f>IF(D741&gt;Summary!$B$3,"Current",IF(F741&lt;=30,"0-30",IF(F741&lt;=60,"31-60",IF(F741&lt;=90,"61-90","90+"))))</f>
        <v/>
      </c>
    </row>
    <row r="742">
      <c r="A742" t="inlineStr">
        <is>
          <t>0009025265</t>
        </is>
      </c>
      <c r="B742" t="inlineStr">
        <is>
          <t>0000100097</t>
        </is>
      </c>
      <c r="C742" s="3" t="n">
        <v>45883</v>
      </c>
      <c r="D742" s="3" t="n">
        <v>45928</v>
      </c>
      <c r="E742" s="4" t="n">
        <v>881.0700000000001</v>
      </c>
      <c r="F742">
        <f>Summary!$B$3-D742</f>
        <v/>
      </c>
      <c r="G742">
        <f>IF(D742&gt;Summary!$B$3,"Current",IF(F742&lt;=30,"0-30",IF(F742&lt;=60,"31-60",IF(F742&lt;=90,"61-90","90+"))))</f>
        <v/>
      </c>
    </row>
    <row r="743">
      <c r="A743" t="inlineStr">
        <is>
          <t>0009025277</t>
        </is>
      </c>
      <c r="B743" t="inlineStr">
        <is>
          <t>0000100219</t>
        </is>
      </c>
      <c r="C743" s="3" t="n">
        <v>45881</v>
      </c>
      <c r="D743" s="3" t="n">
        <v>45911</v>
      </c>
      <c r="E743" s="4" t="n">
        <v>1625.22</v>
      </c>
      <c r="F743">
        <f>Summary!$B$3-D743</f>
        <v/>
      </c>
      <c r="G743">
        <f>IF(D743&gt;Summary!$B$3,"Current",IF(F743&lt;=30,"0-30",IF(F743&lt;=60,"31-60",IF(F743&lt;=90,"61-90","90+"))))</f>
        <v/>
      </c>
    </row>
    <row r="744">
      <c r="A744" t="inlineStr">
        <is>
          <t>0009025368</t>
        </is>
      </c>
      <c r="B744" t="inlineStr">
        <is>
          <t>0000100429</t>
        </is>
      </c>
      <c r="C744" s="3" t="n">
        <v>45887</v>
      </c>
      <c r="D744" s="3" t="n">
        <v>45917</v>
      </c>
      <c r="E744" s="4" t="n">
        <v>737.58</v>
      </c>
      <c r="F744">
        <f>Summary!$B$3-D744</f>
        <v/>
      </c>
      <c r="G744">
        <f>IF(D744&gt;Summary!$B$3,"Current",IF(F744&lt;=30,"0-30",IF(F744&lt;=60,"31-60",IF(F744&lt;=90,"61-90","90+"))))</f>
        <v/>
      </c>
    </row>
    <row r="745">
      <c r="A745" t="inlineStr">
        <is>
          <t>0009025435</t>
        </is>
      </c>
      <c r="B745" t="inlineStr">
        <is>
          <t>0000100041</t>
        </is>
      </c>
      <c r="C745" s="3" t="n">
        <v>45890</v>
      </c>
      <c r="D745" s="3" t="n">
        <v>45950</v>
      </c>
      <c r="E745" s="4" t="n">
        <v>241.82</v>
      </c>
      <c r="F745">
        <f>Summary!$B$3-D745</f>
        <v/>
      </c>
      <c r="G745">
        <f>IF(D745&gt;Summary!$B$3,"Current",IF(F745&lt;=30,"0-30",IF(F745&lt;=60,"31-60",IF(F745&lt;=90,"61-90","90+"))))</f>
        <v/>
      </c>
    </row>
    <row r="746">
      <c r="A746" t="inlineStr">
        <is>
          <t>0009025511</t>
        </is>
      </c>
      <c r="B746" t="inlineStr">
        <is>
          <t>0000100465</t>
        </is>
      </c>
      <c r="C746" s="3" t="n">
        <v>45893</v>
      </c>
      <c r="D746" s="3" t="n">
        <v>45953</v>
      </c>
      <c r="E746" s="4" t="n">
        <v>230.87</v>
      </c>
      <c r="F746">
        <f>Summary!$B$3-D746</f>
        <v/>
      </c>
      <c r="G746">
        <f>IF(D746&gt;Summary!$B$3,"Current",IF(F746&lt;=30,"0-30",IF(F746&lt;=60,"31-60",IF(F746&lt;=90,"61-90","90+"))))</f>
        <v/>
      </c>
    </row>
    <row r="747">
      <c r="A747" t="inlineStr">
        <is>
          <t>0009025571</t>
        </is>
      </c>
      <c r="B747" t="inlineStr">
        <is>
          <t>0000100377</t>
        </is>
      </c>
      <c r="C747" s="3" t="n">
        <v>45894</v>
      </c>
      <c r="D747" s="3" t="n">
        <v>45924</v>
      </c>
      <c r="E747" s="4" t="n">
        <v>3483.6</v>
      </c>
      <c r="F747">
        <f>Summary!$B$3-D747</f>
        <v/>
      </c>
      <c r="G747">
        <f>IF(D747&gt;Summary!$B$3,"Current",IF(F747&lt;=30,"0-30",IF(F747&lt;=60,"31-60",IF(F747&lt;=90,"61-90","90+"))))</f>
        <v/>
      </c>
    </row>
    <row r="748">
      <c r="A748" t="inlineStr">
        <is>
          <t>0009025628</t>
        </is>
      </c>
      <c r="B748" t="inlineStr">
        <is>
          <t>0000100338</t>
        </is>
      </c>
      <c r="C748" s="3" t="n">
        <v>45897</v>
      </c>
      <c r="D748" s="3" t="n">
        <v>45957</v>
      </c>
      <c r="E748" s="4" t="n">
        <v>883.4299999999999</v>
      </c>
      <c r="F748">
        <f>Summary!$B$3-D748</f>
        <v/>
      </c>
      <c r="G748">
        <f>IF(D748&gt;Summary!$B$3,"Current",IF(F748&lt;=30,"0-30",IF(F748&lt;=60,"31-60",IF(F748&lt;=90,"61-90","90+"))))</f>
        <v/>
      </c>
    </row>
    <row r="749">
      <c r="A749" t="inlineStr">
        <is>
          <t>0009025640</t>
        </is>
      </c>
      <c r="B749" t="inlineStr">
        <is>
          <t>0000100111</t>
        </is>
      </c>
      <c r="C749" s="3" t="n">
        <v>45901</v>
      </c>
      <c r="D749" s="3" t="n">
        <v>45946</v>
      </c>
      <c r="E749" s="4" t="n">
        <v>2426.56</v>
      </c>
      <c r="F749">
        <f>Summary!$B$3-D749</f>
        <v/>
      </c>
      <c r="G749">
        <f>IF(D749&gt;Summary!$B$3,"Current",IF(F749&lt;=30,"0-30",IF(F749&lt;=60,"31-60",IF(F749&lt;=90,"61-90","90+"))))</f>
        <v/>
      </c>
    </row>
    <row r="750">
      <c r="A750" t="inlineStr">
        <is>
          <t>0009025706</t>
        </is>
      </c>
      <c r="B750" t="inlineStr">
        <is>
          <t>0000100006</t>
        </is>
      </c>
      <c r="C750" s="3" t="n">
        <v>45903</v>
      </c>
      <c r="D750" s="3" t="n">
        <v>45963</v>
      </c>
      <c r="E750" s="4" t="n">
        <v>2401.3</v>
      </c>
      <c r="F750">
        <f>Summary!$B$3-D750</f>
        <v/>
      </c>
      <c r="G750">
        <f>IF(D750&gt;Summary!$B$3,"Current",IF(F750&lt;=30,"0-30",IF(F750&lt;=60,"31-60",IF(F750&lt;=90,"61-90","90+"))))</f>
        <v/>
      </c>
    </row>
    <row r="751">
      <c r="A751" t="inlineStr">
        <is>
          <t>0009025740</t>
        </is>
      </c>
      <c r="B751" t="inlineStr">
        <is>
          <t>0000100357</t>
        </is>
      </c>
      <c r="C751" s="3" t="n">
        <v>45903</v>
      </c>
      <c r="D751" s="3" t="n">
        <v>45948</v>
      </c>
      <c r="E751" s="4" t="n">
        <v>132.31</v>
      </c>
      <c r="F751">
        <f>Summary!$B$3-D751</f>
        <v/>
      </c>
      <c r="G751">
        <f>IF(D751&gt;Summary!$B$3,"Current",IF(F751&lt;=30,"0-30",IF(F751&lt;=60,"31-60",IF(F751&lt;=90,"61-90","90+"))))</f>
        <v/>
      </c>
    </row>
    <row r="752">
      <c r="A752" t="inlineStr">
        <is>
          <t>0009025745</t>
        </is>
      </c>
      <c r="B752" t="inlineStr">
        <is>
          <t>0000100344</t>
        </is>
      </c>
      <c r="C752" s="3" t="n">
        <v>45907</v>
      </c>
      <c r="D752" s="3" t="n">
        <v>45937</v>
      </c>
      <c r="E752" s="4" t="n">
        <v>7076.94</v>
      </c>
      <c r="F752">
        <f>Summary!$B$3-D752</f>
        <v/>
      </c>
      <c r="G752">
        <f>IF(D752&gt;Summary!$B$3,"Current",IF(F752&lt;=30,"0-30",IF(F752&lt;=60,"31-60",IF(F752&lt;=90,"61-90","90+"))))</f>
        <v/>
      </c>
    </row>
    <row r="753">
      <c r="A753" t="inlineStr">
        <is>
          <t>0009025753</t>
        </is>
      </c>
      <c r="B753" t="inlineStr">
        <is>
          <t>0000100416</t>
        </is>
      </c>
      <c r="C753" s="3" t="n">
        <v>45903</v>
      </c>
      <c r="D753" s="3" t="n">
        <v>45948</v>
      </c>
      <c r="E753" s="4" t="n">
        <v>127.02</v>
      </c>
      <c r="F753">
        <f>Summary!$B$3-D753</f>
        <v/>
      </c>
      <c r="G753">
        <f>IF(D753&gt;Summary!$B$3,"Current",IF(F753&lt;=30,"0-30",IF(F753&lt;=60,"31-60",IF(F753&lt;=90,"61-90","90+"))))</f>
        <v/>
      </c>
    </row>
    <row r="754">
      <c r="A754" t="inlineStr">
        <is>
          <t>0009025871</t>
        </is>
      </c>
      <c r="B754" t="inlineStr">
        <is>
          <t>0000100206</t>
        </is>
      </c>
      <c r="C754" s="3" t="n">
        <v>45907</v>
      </c>
      <c r="D754" s="3" t="n">
        <v>45952</v>
      </c>
      <c r="E754" s="4" t="n">
        <v>164.64</v>
      </c>
      <c r="F754">
        <f>Summary!$B$3-D754</f>
        <v/>
      </c>
      <c r="G754">
        <f>IF(D754&gt;Summary!$B$3,"Current",IF(F754&lt;=30,"0-30",IF(F754&lt;=60,"31-60",IF(F754&lt;=90,"61-90","90+"))))</f>
        <v/>
      </c>
    </row>
    <row r="755">
      <c r="A755" t="inlineStr">
        <is>
          <t>0009025877</t>
        </is>
      </c>
      <c r="B755" t="inlineStr">
        <is>
          <t>0000100125</t>
        </is>
      </c>
      <c r="C755" s="3" t="n">
        <v>45909</v>
      </c>
      <c r="D755" s="3" t="n">
        <v>45939</v>
      </c>
      <c r="E755" s="4" t="n">
        <v>452.52</v>
      </c>
      <c r="F755">
        <f>Summary!$B$3-D755</f>
        <v/>
      </c>
      <c r="G755">
        <f>IF(D755&gt;Summary!$B$3,"Current",IF(F755&lt;=30,"0-30",IF(F755&lt;=60,"31-60",IF(F755&lt;=90,"61-90","90+"))))</f>
        <v/>
      </c>
    </row>
    <row r="756">
      <c r="A756" t="inlineStr">
        <is>
          <t>0009025918</t>
        </is>
      </c>
      <c r="B756" t="inlineStr">
        <is>
          <t>0000100382</t>
        </is>
      </c>
      <c r="C756" s="3" t="n">
        <v>45909</v>
      </c>
      <c r="D756" s="3" t="n">
        <v>45954</v>
      </c>
      <c r="E756" s="4" t="n">
        <v>883.9400000000001</v>
      </c>
      <c r="F756">
        <f>Summary!$B$3-D756</f>
        <v/>
      </c>
      <c r="G756">
        <f>IF(D756&gt;Summary!$B$3,"Current",IF(F756&lt;=30,"0-30",IF(F756&lt;=60,"31-60",IF(F756&lt;=90,"61-90","90+"))))</f>
        <v/>
      </c>
    </row>
    <row r="757">
      <c r="A757" t="inlineStr">
        <is>
          <t>0009025934</t>
        </is>
      </c>
      <c r="B757" t="inlineStr">
        <is>
          <t>0000100070</t>
        </is>
      </c>
      <c r="C757" s="3" t="n">
        <v>45909</v>
      </c>
      <c r="D757" s="3" t="n">
        <v>45939</v>
      </c>
      <c r="E757" s="4" t="n">
        <v>1906.52</v>
      </c>
      <c r="F757">
        <f>Summary!$B$3-D757</f>
        <v/>
      </c>
      <c r="G757">
        <f>IF(D757&gt;Summary!$B$3,"Current",IF(F757&lt;=30,"0-30",IF(F757&lt;=60,"31-60",IF(F757&lt;=90,"61-90","90+"))))</f>
        <v/>
      </c>
    </row>
    <row r="758">
      <c r="A758" t="inlineStr">
        <is>
          <t>0009025974</t>
        </is>
      </c>
      <c r="B758" t="inlineStr">
        <is>
          <t>0000100512</t>
        </is>
      </c>
      <c r="C758" s="3" t="n">
        <v>45922</v>
      </c>
      <c r="D758" s="3" t="n">
        <v>45967</v>
      </c>
      <c r="E758" s="4" t="n">
        <v>636.72</v>
      </c>
      <c r="F758">
        <f>Summary!$B$3-D758</f>
        <v/>
      </c>
      <c r="G758">
        <f>IF(D758&gt;Summary!$B$3,"Current",IF(F758&lt;=30,"0-30",IF(F758&lt;=60,"31-60",IF(F758&lt;=90,"61-90","90+"))))</f>
        <v/>
      </c>
    </row>
    <row r="759">
      <c r="A759" t="inlineStr">
        <is>
          <t>0009026076</t>
        </is>
      </c>
      <c r="B759" t="inlineStr">
        <is>
          <t>0000100423</t>
        </is>
      </c>
      <c r="C759" s="3" t="n">
        <v>45913</v>
      </c>
      <c r="D759" s="3" t="n">
        <v>45958</v>
      </c>
      <c r="E759" s="4" t="n">
        <v>587.97</v>
      </c>
      <c r="F759">
        <f>Summary!$B$3-D759</f>
        <v/>
      </c>
      <c r="G759">
        <f>IF(D759&gt;Summary!$B$3,"Current",IF(F759&lt;=30,"0-30",IF(F759&lt;=60,"31-60",IF(F759&lt;=90,"61-90","90+"))))</f>
        <v/>
      </c>
    </row>
    <row r="760">
      <c r="A760" t="inlineStr">
        <is>
          <t>0009026115</t>
        </is>
      </c>
      <c r="B760" t="inlineStr">
        <is>
          <t>0000100272</t>
        </is>
      </c>
      <c r="C760" s="3" t="n">
        <v>45919</v>
      </c>
      <c r="D760" s="3" t="n">
        <v>45979</v>
      </c>
      <c r="E760" s="4" t="n">
        <v>1289.68</v>
      </c>
      <c r="F760">
        <f>Summary!$B$3-D760</f>
        <v/>
      </c>
      <c r="G760">
        <f>IF(D760&gt;Summary!$B$3,"Current",IF(F760&lt;=30,"0-30",IF(F760&lt;=60,"31-60",IF(F760&lt;=90,"61-90","90+"))))</f>
        <v/>
      </c>
    </row>
    <row r="761">
      <c r="A761" t="inlineStr">
        <is>
          <t>0009026164</t>
        </is>
      </c>
      <c r="B761" t="inlineStr">
        <is>
          <t>0000100274</t>
        </is>
      </c>
      <c r="C761" s="3" t="n">
        <v>45922</v>
      </c>
      <c r="D761" s="3" t="n">
        <v>45967</v>
      </c>
      <c r="E761" s="4" t="n">
        <v>471.48</v>
      </c>
      <c r="F761">
        <f>Summary!$B$3-D761</f>
        <v/>
      </c>
      <c r="G761">
        <f>IF(D761&gt;Summary!$B$3,"Current",IF(F761&lt;=30,"0-30",IF(F761&lt;=60,"31-60",IF(F761&lt;=90,"61-90","90+"))))</f>
        <v/>
      </c>
    </row>
    <row r="762">
      <c r="A762" t="inlineStr">
        <is>
          <t>0009026216</t>
        </is>
      </c>
      <c r="B762" t="inlineStr">
        <is>
          <t>0000100581</t>
        </is>
      </c>
      <c r="C762" s="3" t="n">
        <v>45917</v>
      </c>
      <c r="D762" s="3" t="n">
        <v>45947</v>
      </c>
      <c r="E762" s="4" t="n">
        <v>332.7</v>
      </c>
      <c r="F762">
        <f>Summary!$B$3-D762</f>
        <v/>
      </c>
      <c r="G762">
        <f>IF(D762&gt;Summary!$B$3,"Current",IF(F762&lt;=30,"0-30",IF(F762&lt;=60,"31-60",IF(F762&lt;=90,"61-90","90+"))))</f>
        <v/>
      </c>
    </row>
    <row r="763">
      <c r="A763" t="inlineStr">
        <is>
          <t>0009026224</t>
        </is>
      </c>
      <c r="B763" t="inlineStr">
        <is>
          <t>0000100412</t>
        </is>
      </c>
      <c r="C763" s="3" t="n">
        <v>45922</v>
      </c>
      <c r="D763" s="3" t="n">
        <v>45952</v>
      </c>
      <c r="E763" s="4" t="n">
        <v>3981.06</v>
      </c>
      <c r="F763">
        <f>Summary!$B$3-D763</f>
        <v/>
      </c>
      <c r="G763">
        <f>IF(D763&gt;Summary!$B$3,"Current",IF(F763&lt;=30,"0-30",IF(F763&lt;=60,"31-60",IF(F763&lt;=90,"61-90","90+"))))</f>
        <v/>
      </c>
    </row>
    <row r="764">
      <c r="A764" t="inlineStr">
        <is>
          <t>0009026282</t>
        </is>
      </c>
      <c r="B764" t="inlineStr">
        <is>
          <t>0000100192</t>
        </is>
      </c>
      <c r="C764" s="3" t="n">
        <v>45920</v>
      </c>
      <c r="D764" s="3" t="n">
        <v>45950</v>
      </c>
      <c r="E764" s="4" t="n">
        <v>1038.44</v>
      </c>
      <c r="F764">
        <f>Summary!$B$3-D764</f>
        <v/>
      </c>
      <c r="G764">
        <f>IF(D764&gt;Summary!$B$3,"Current",IF(F764&lt;=30,"0-30",IF(F764&lt;=60,"31-60",IF(F764&lt;=90,"61-90","90+"))))</f>
        <v/>
      </c>
    </row>
    <row r="765">
      <c r="A765" t="inlineStr">
        <is>
          <t>0009026290</t>
        </is>
      </c>
      <c r="B765" t="inlineStr">
        <is>
          <t>0000100348</t>
        </is>
      </c>
      <c r="C765" s="3" t="n">
        <v>45921</v>
      </c>
      <c r="D765" s="3" t="n">
        <v>45981</v>
      </c>
      <c r="E765" s="4" t="n">
        <v>357.95</v>
      </c>
      <c r="F765">
        <f>Summary!$B$3-D765</f>
        <v/>
      </c>
      <c r="G765">
        <f>IF(D765&gt;Summary!$B$3,"Current",IF(F765&lt;=30,"0-30",IF(F765&lt;=60,"31-60",IF(F765&lt;=90,"61-90","90+"))))</f>
        <v/>
      </c>
    </row>
    <row r="766">
      <c r="A766" t="inlineStr">
        <is>
          <t>0009026334</t>
        </is>
      </c>
      <c r="B766" t="inlineStr">
        <is>
          <t>0000100186</t>
        </is>
      </c>
      <c r="C766" s="3" t="n">
        <v>45925</v>
      </c>
      <c r="D766" s="3" t="n">
        <v>45985</v>
      </c>
      <c r="E766" s="4" t="n">
        <v>80.81999999999999</v>
      </c>
      <c r="F766">
        <f>Summary!$B$3-D766</f>
        <v/>
      </c>
      <c r="G766">
        <f>IF(D766&gt;Summary!$B$3,"Current",IF(F766&lt;=30,"0-30",IF(F766&lt;=60,"31-60",IF(F766&lt;=90,"61-90","90+"))))</f>
        <v/>
      </c>
    </row>
    <row r="767">
      <c r="A767" t="inlineStr">
        <is>
          <t>0009026347</t>
        </is>
      </c>
      <c r="B767" t="inlineStr">
        <is>
          <t>0000100007</t>
        </is>
      </c>
      <c r="C767" s="3" t="n">
        <v>45919</v>
      </c>
      <c r="D767" s="3" t="n">
        <v>45949</v>
      </c>
      <c r="E767" s="4" t="n">
        <v>603.96</v>
      </c>
      <c r="F767">
        <f>Summary!$B$3-D767</f>
        <v/>
      </c>
      <c r="G767">
        <f>IF(D767&gt;Summary!$B$3,"Current",IF(F767&lt;=30,"0-30",IF(F767&lt;=60,"31-60",IF(F767&lt;=90,"61-90","90+"))))</f>
        <v/>
      </c>
    </row>
    <row r="768">
      <c r="A768" t="inlineStr">
        <is>
          <t>0009026359</t>
        </is>
      </c>
      <c r="B768" t="inlineStr">
        <is>
          <t>0000100348</t>
        </is>
      </c>
      <c r="C768" s="3" t="n">
        <v>45927</v>
      </c>
      <c r="D768" s="3" t="n">
        <v>45987</v>
      </c>
      <c r="E768" s="4" t="n">
        <v>1017</v>
      </c>
      <c r="F768">
        <f>Summary!$B$3-D768</f>
        <v/>
      </c>
      <c r="G768">
        <f>IF(D768&gt;Summary!$B$3,"Current",IF(F768&lt;=30,"0-30",IF(F768&lt;=60,"31-60",IF(F768&lt;=90,"61-90","90+"))))</f>
        <v/>
      </c>
    </row>
    <row r="769">
      <c r="A769" t="inlineStr">
        <is>
          <t>0009026376</t>
        </is>
      </c>
      <c r="B769" t="inlineStr">
        <is>
          <t>0000100417</t>
        </is>
      </c>
      <c r="C769" s="3" t="n">
        <v>45924</v>
      </c>
      <c r="D769" s="3" t="n">
        <v>45984</v>
      </c>
      <c r="E769" s="4" t="n">
        <v>1384.83</v>
      </c>
      <c r="F769">
        <f>Summary!$B$3-D769</f>
        <v/>
      </c>
      <c r="G769">
        <f>IF(D769&gt;Summary!$B$3,"Current",IF(F769&lt;=30,"0-30",IF(F769&lt;=60,"31-60",IF(F769&lt;=90,"61-90","90+"))))</f>
        <v/>
      </c>
    </row>
    <row r="770">
      <c r="A770" t="inlineStr">
        <is>
          <t>0009026380</t>
        </is>
      </c>
      <c r="B770" t="inlineStr">
        <is>
          <t>0000100178</t>
        </is>
      </c>
      <c r="C770" s="3" t="n">
        <v>45919</v>
      </c>
      <c r="D770" s="3" t="n">
        <v>45964</v>
      </c>
      <c r="E770" s="4" t="n">
        <v>53.13</v>
      </c>
      <c r="F770">
        <f>Summary!$B$3-D770</f>
        <v/>
      </c>
      <c r="G770">
        <f>IF(D770&gt;Summary!$B$3,"Current",IF(F770&lt;=30,"0-30",IF(F770&lt;=60,"31-60",IF(F770&lt;=90,"61-90","90+"))))</f>
        <v/>
      </c>
    </row>
    <row r="771">
      <c r="A771" t="inlineStr">
        <is>
          <t>0009026409</t>
        </is>
      </c>
      <c r="B771" t="inlineStr">
        <is>
          <t>0000100219</t>
        </is>
      </c>
      <c r="C771" s="3" t="n">
        <v>45926</v>
      </c>
      <c r="D771" s="3" t="n">
        <v>45956</v>
      </c>
      <c r="E771" s="4" t="n">
        <v>158.68</v>
      </c>
      <c r="F771">
        <f>Summary!$B$3-D771</f>
        <v/>
      </c>
      <c r="G771">
        <f>IF(D771&gt;Summary!$B$3,"Current",IF(F771&lt;=30,"0-30",IF(F771&lt;=60,"31-60",IF(F771&lt;=90,"61-90","90+"))))</f>
        <v/>
      </c>
    </row>
    <row r="772">
      <c r="A772" t="inlineStr">
        <is>
          <t>0009026471</t>
        </is>
      </c>
      <c r="B772" t="inlineStr">
        <is>
          <t>0000100362</t>
        </is>
      </c>
      <c r="C772" s="3" t="n">
        <v>45928</v>
      </c>
      <c r="D772" s="3" t="n">
        <v>45958</v>
      </c>
      <c r="E772" s="4" t="n">
        <v>492.06</v>
      </c>
      <c r="F772">
        <f>Summary!$B$3-D772</f>
        <v/>
      </c>
      <c r="G772">
        <f>IF(D772&gt;Summary!$B$3,"Current",IF(F772&lt;=30,"0-30",IF(F772&lt;=60,"31-60",IF(F772&lt;=90,"61-90","90+"))))</f>
        <v/>
      </c>
    </row>
    <row r="773">
      <c r="A773" t="inlineStr">
        <is>
          <t>0009026541</t>
        </is>
      </c>
      <c r="B773" t="inlineStr">
        <is>
          <t>0000100400</t>
        </is>
      </c>
      <c r="C773" s="3" t="n">
        <v>45931</v>
      </c>
      <c r="D773" s="3" t="n">
        <v>45961</v>
      </c>
      <c r="E773" s="4" t="n">
        <v>219.4</v>
      </c>
      <c r="F773">
        <f>Summary!$B$3-D773</f>
        <v/>
      </c>
      <c r="G773">
        <f>IF(D773&gt;Summary!$B$3,"Current",IF(F773&lt;=30,"0-30",IF(F773&lt;=60,"31-60",IF(F773&lt;=90,"61-90","90+"))))</f>
        <v/>
      </c>
    </row>
    <row r="774">
      <c r="A774" t="inlineStr">
        <is>
          <t>0009026549</t>
        </is>
      </c>
      <c r="B774" t="inlineStr">
        <is>
          <t>0000100540</t>
        </is>
      </c>
      <c r="C774" s="3" t="n">
        <v>45933</v>
      </c>
      <c r="D774" s="3" t="n">
        <v>45963</v>
      </c>
      <c r="E774" s="4" t="n">
        <v>1013.88</v>
      </c>
      <c r="F774">
        <f>Summary!$B$3-D774</f>
        <v/>
      </c>
      <c r="G774">
        <f>IF(D774&gt;Summary!$B$3,"Current",IF(F774&lt;=30,"0-30",IF(F774&lt;=60,"31-60",IF(F774&lt;=90,"61-90","90+"))))</f>
        <v/>
      </c>
    </row>
    <row r="775">
      <c r="A775" t="inlineStr">
        <is>
          <t>0009026598</t>
        </is>
      </c>
      <c r="B775" t="inlineStr">
        <is>
          <t>0000100227</t>
        </is>
      </c>
      <c r="C775" s="3" t="n">
        <v>45930</v>
      </c>
      <c r="D775" s="3" t="n">
        <v>45960</v>
      </c>
      <c r="E775" s="4" t="n">
        <v>1363.41</v>
      </c>
      <c r="F775">
        <f>Summary!$B$3-D775</f>
        <v/>
      </c>
      <c r="G775">
        <f>IF(D775&gt;Summary!$B$3,"Current",IF(F775&lt;=30,"0-30",IF(F775&lt;=60,"31-60",IF(F775&lt;=90,"61-90","90+"))))</f>
        <v/>
      </c>
    </row>
    <row r="776">
      <c r="A776" t="inlineStr">
        <is>
          <t>0009026653</t>
        </is>
      </c>
      <c r="B776" t="inlineStr">
        <is>
          <t>0000100383</t>
        </is>
      </c>
      <c r="C776" s="3" t="n">
        <v>45936</v>
      </c>
      <c r="D776" s="3" t="n">
        <v>45966</v>
      </c>
      <c r="E776" s="4" t="n">
        <v>151.55</v>
      </c>
      <c r="F776">
        <f>Summary!$B$3-D776</f>
        <v/>
      </c>
      <c r="G776">
        <f>IF(D776&gt;Summary!$B$3,"Current",IF(F776&lt;=30,"0-30",IF(F776&lt;=60,"31-60",IF(F776&lt;=90,"61-90","90+"))))</f>
        <v/>
      </c>
    </row>
    <row r="777">
      <c r="A777" t="inlineStr">
        <is>
          <t>0009026755</t>
        </is>
      </c>
      <c r="B777" t="inlineStr">
        <is>
          <t>0000100456</t>
        </is>
      </c>
      <c r="C777" s="3" t="n">
        <v>45940</v>
      </c>
      <c r="D777" s="3" t="n">
        <v>46000</v>
      </c>
      <c r="E777" s="4" t="n">
        <v>3657.69</v>
      </c>
      <c r="F777">
        <f>Summary!$B$3-D777</f>
        <v/>
      </c>
      <c r="G777">
        <f>IF(D777&gt;Summary!$B$3,"Current",IF(F777&lt;=30,"0-30",IF(F777&lt;=60,"31-60",IF(F777&lt;=90,"61-90","90+"))))</f>
        <v/>
      </c>
    </row>
    <row r="778">
      <c r="A778" t="inlineStr">
        <is>
          <t>0009026775</t>
        </is>
      </c>
      <c r="B778" t="inlineStr">
        <is>
          <t>0000100542</t>
        </is>
      </c>
      <c r="C778" s="3" t="n">
        <v>45940</v>
      </c>
      <c r="D778" s="3" t="n">
        <v>46000</v>
      </c>
      <c r="E778" s="4" t="n">
        <v>1084.09</v>
      </c>
      <c r="F778">
        <f>Summary!$B$3-D778</f>
        <v/>
      </c>
      <c r="G778">
        <f>IF(D778&gt;Summary!$B$3,"Current",IF(F778&lt;=30,"0-30",IF(F778&lt;=60,"31-60",IF(F778&lt;=90,"61-90","90+"))))</f>
        <v/>
      </c>
    </row>
    <row r="779">
      <c r="A779" t="inlineStr">
        <is>
          <t>0009026803</t>
        </is>
      </c>
      <c r="B779" t="inlineStr">
        <is>
          <t>0000100357</t>
        </is>
      </c>
      <c r="C779" s="3" t="n">
        <v>45942</v>
      </c>
      <c r="D779" s="3" t="n">
        <v>45987</v>
      </c>
      <c r="E779" s="4" t="n">
        <v>78.12</v>
      </c>
      <c r="F779">
        <f>Summary!$B$3-D779</f>
        <v/>
      </c>
      <c r="G779">
        <f>IF(D779&gt;Summary!$B$3,"Current",IF(F779&lt;=30,"0-30",IF(F779&lt;=60,"31-60",IF(F779&lt;=90,"61-90","90+"))))</f>
        <v/>
      </c>
    </row>
    <row r="780">
      <c r="A780" t="inlineStr">
        <is>
          <t>0009026848</t>
        </is>
      </c>
      <c r="B780" t="inlineStr">
        <is>
          <t>0000100218</t>
        </is>
      </c>
      <c r="C780" s="3" t="n">
        <v>45936</v>
      </c>
      <c r="D780" s="3" t="n">
        <v>45981</v>
      </c>
      <c r="E780" s="4" t="n">
        <v>837.36</v>
      </c>
      <c r="F780">
        <f>Summary!$B$3-D780</f>
        <v/>
      </c>
      <c r="G780">
        <f>IF(D780&gt;Summary!$B$3,"Current",IF(F780&lt;=30,"0-30",IF(F780&lt;=60,"31-60",IF(F780&lt;=90,"61-90","90+"))))</f>
        <v/>
      </c>
    </row>
    <row r="781">
      <c r="A781" t="inlineStr">
        <is>
          <t>0009026862</t>
        </is>
      </c>
      <c r="B781" t="inlineStr">
        <is>
          <t>0000100278</t>
        </is>
      </c>
      <c r="C781" s="3" t="n">
        <v>45942</v>
      </c>
      <c r="D781" s="3" t="n">
        <v>45987</v>
      </c>
      <c r="E781" s="4" t="n">
        <v>661.48</v>
      </c>
      <c r="F781">
        <f>Summary!$B$3-D781</f>
        <v/>
      </c>
      <c r="G781">
        <f>IF(D781&gt;Summary!$B$3,"Current",IF(F781&lt;=30,"0-30",IF(F781&lt;=60,"31-60",IF(F781&lt;=90,"61-90","90+"))))</f>
        <v/>
      </c>
    </row>
    <row r="782">
      <c r="A782" t="inlineStr">
        <is>
          <t>0009026867</t>
        </is>
      </c>
      <c r="B782" t="inlineStr">
        <is>
          <t>0000100515</t>
        </is>
      </c>
      <c r="C782" s="3" t="n">
        <v>45942</v>
      </c>
      <c r="D782" s="3" t="n">
        <v>45972</v>
      </c>
      <c r="E782" s="4" t="n">
        <v>103.39</v>
      </c>
      <c r="F782">
        <f>Summary!$B$3-D782</f>
        <v/>
      </c>
      <c r="G782">
        <f>IF(D782&gt;Summary!$B$3,"Current",IF(F782&lt;=30,"0-30",IF(F782&lt;=60,"31-60",IF(F782&lt;=90,"61-90","90+"))))</f>
        <v/>
      </c>
    </row>
    <row r="783">
      <c r="A783" t="inlineStr">
        <is>
          <t>0009026925</t>
        </is>
      </c>
      <c r="B783" t="inlineStr">
        <is>
          <t>0000100456</t>
        </is>
      </c>
      <c r="C783" s="3" t="n">
        <v>45949</v>
      </c>
      <c r="D783" s="3" t="n">
        <v>46009</v>
      </c>
      <c r="E783" s="4" t="n">
        <v>132.21</v>
      </c>
      <c r="F783">
        <f>Summary!$B$3-D783</f>
        <v/>
      </c>
      <c r="G783">
        <f>IF(D783&gt;Summary!$B$3,"Current",IF(F783&lt;=30,"0-30",IF(F783&lt;=60,"31-60",IF(F783&lt;=90,"61-90","90+"))))</f>
        <v/>
      </c>
    </row>
    <row r="784">
      <c r="A784" t="inlineStr">
        <is>
          <t>0009026972</t>
        </is>
      </c>
      <c r="B784" t="inlineStr">
        <is>
          <t>0000100456</t>
        </is>
      </c>
      <c r="C784" s="3" t="n">
        <v>45953</v>
      </c>
      <c r="D784" s="3" t="n">
        <v>46013</v>
      </c>
      <c r="E784" s="4" t="n">
        <v>586.59</v>
      </c>
      <c r="F784">
        <f>Summary!$B$3-D784</f>
        <v/>
      </c>
      <c r="G784">
        <f>IF(D784&gt;Summary!$B$3,"Current",IF(F784&lt;=30,"0-30",IF(F784&lt;=60,"31-60",IF(F784&lt;=90,"61-90","90+"))))</f>
        <v/>
      </c>
    </row>
    <row r="785">
      <c r="A785" t="inlineStr">
        <is>
          <t>0009026989</t>
        </is>
      </c>
      <c r="B785" t="inlineStr">
        <is>
          <t>0000100013</t>
        </is>
      </c>
      <c r="C785" s="3" t="n">
        <v>45949</v>
      </c>
      <c r="D785" s="3" t="n">
        <v>46009</v>
      </c>
      <c r="E785" s="4" t="n">
        <v>1298.8</v>
      </c>
      <c r="F785">
        <f>Summary!$B$3-D785</f>
        <v/>
      </c>
      <c r="G785">
        <f>IF(D785&gt;Summary!$B$3,"Current",IF(F785&lt;=30,"0-30",IF(F785&lt;=60,"31-60",IF(F785&lt;=90,"61-90","90+"))))</f>
        <v/>
      </c>
    </row>
    <row r="786">
      <c r="A786" t="inlineStr">
        <is>
          <t>0009027003</t>
        </is>
      </c>
      <c r="B786" t="inlineStr">
        <is>
          <t>0000100570</t>
        </is>
      </c>
      <c r="C786" s="3" t="n">
        <v>45948</v>
      </c>
      <c r="D786" s="3" t="n">
        <v>45978</v>
      </c>
      <c r="E786" s="4" t="n">
        <v>139.11</v>
      </c>
      <c r="F786">
        <f>Summary!$B$3-D786</f>
        <v/>
      </c>
      <c r="G786">
        <f>IF(D786&gt;Summary!$B$3,"Current",IF(F786&lt;=30,"0-30",IF(F786&lt;=60,"31-60",IF(F786&lt;=90,"61-90","90+"))))</f>
        <v/>
      </c>
    </row>
    <row r="787">
      <c r="A787" t="inlineStr">
        <is>
          <t>0009027029</t>
        </is>
      </c>
      <c r="B787" t="inlineStr">
        <is>
          <t>0000100274</t>
        </is>
      </c>
      <c r="C787" s="3" t="n">
        <v>45944</v>
      </c>
      <c r="D787" s="3" t="n">
        <v>45989</v>
      </c>
      <c r="E787" s="4" t="n">
        <v>727.64</v>
      </c>
      <c r="F787">
        <f>Summary!$B$3-D787</f>
        <v/>
      </c>
      <c r="G787">
        <f>IF(D787&gt;Summary!$B$3,"Current",IF(F787&lt;=30,"0-30",IF(F787&lt;=60,"31-60",IF(F787&lt;=90,"61-90","90+"))))</f>
        <v/>
      </c>
    </row>
    <row r="788">
      <c r="A788" t="inlineStr">
        <is>
          <t>0009027074</t>
        </is>
      </c>
      <c r="B788" t="inlineStr">
        <is>
          <t>0000100587</t>
        </is>
      </c>
      <c r="C788" s="3" t="n">
        <v>45945</v>
      </c>
      <c r="D788" s="3" t="n">
        <v>46005</v>
      </c>
      <c r="E788" s="4" t="n">
        <v>129.73</v>
      </c>
      <c r="F788">
        <f>Summary!$B$3-D788</f>
        <v/>
      </c>
      <c r="G788">
        <f>IF(D788&gt;Summary!$B$3,"Current",IF(F788&lt;=30,"0-30",IF(F788&lt;=60,"31-60",IF(F788&lt;=90,"61-90","90+"))))</f>
        <v/>
      </c>
    </row>
    <row r="789">
      <c r="A789" t="inlineStr">
        <is>
          <t>0009027078</t>
        </is>
      </c>
      <c r="B789" t="inlineStr">
        <is>
          <t>0000100313</t>
        </is>
      </c>
      <c r="C789" s="3" t="n">
        <v>45952</v>
      </c>
      <c r="D789" s="3" t="n">
        <v>46012</v>
      </c>
      <c r="E789" s="4" t="n">
        <v>637.5599999999999</v>
      </c>
      <c r="F789">
        <f>Summary!$B$3-D789</f>
        <v/>
      </c>
      <c r="G789">
        <f>IF(D789&gt;Summary!$B$3,"Current",IF(F789&lt;=30,"0-30",IF(F789&lt;=60,"31-60",IF(F789&lt;=90,"61-90","90+"))))</f>
        <v/>
      </c>
    </row>
    <row r="790">
      <c r="A790" t="inlineStr">
        <is>
          <t>0009027090</t>
        </is>
      </c>
      <c r="B790" t="inlineStr">
        <is>
          <t>0000100588</t>
        </is>
      </c>
      <c r="C790" s="3" t="n">
        <v>45945</v>
      </c>
      <c r="D790" s="3" t="n">
        <v>45975</v>
      </c>
      <c r="E790" s="4" t="n">
        <v>999.16</v>
      </c>
      <c r="F790">
        <f>Summary!$B$3-D790</f>
        <v/>
      </c>
      <c r="G790">
        <f>IF(D790&gt;Summary!$B$3,"Current",IF(F790&lt;=30,"0-30",IF(F790&lt;=60,"31-60",IF(F790&lt;=90,"61-90","90+"))))</f>
        <v/>
      </c>
    </row>
    <row r="791">
      <c r="A791" t="inlineStr">
        <is>
          <t>0009027103</t>
        </is>
      </c>
      <c r="B791" t="inlineStr">
        <is>
          <t>0000100304</t>
        </is>
      </c>
      <c r="C791" s="3" t="n">
        <v>45944</v>
      </c>
      <c r="D791" s="3" t="n">
        <v>46004</v>
      </c>
      <c r="E791" s="4" t="n">
        <v>1600.48</v>
      </c>
      <c r="F791">
        <f>Summary!$B$3-D791</f>
        <v/>
      </c>
      <c r="G791">
        <f>IF(D791&gt;Summary!$B$3,"Current",IF(F791&lt;=30,"0-30",IF(F791&lt;=60,"31-60",IF(F791&lt;=90,"61-90","90+"))))</f>
        <v/>
      </c>
    </row>
    <row r="792">
      <c r="A792" t="inlineStr">
        <is>
          <t>0009027122</t>
        </is>
      </c>
      <c r="B792" t="inlineStr">
        <is>
          <t>0000100542</t>
        </is>
      </c>
      <c r="C792" s="3" t="n">
        <v>45947</v>
      </c>
      <c r="D792" s="3" t="n">
        <v>46007</v>
      </c>
      <c r="E792" s="4" t="n">
        <v>386</v>
      </c>
      <c r="F792">
        <f>Summary!$B$3-D792</f>
        <v/>
      </c>
      <c r="G792">
        <f>IF(D792&gt;Summary!$B$3,"Current",IF(F792&lt;=30,"0-30",IF(F792&lt;=60,"31-60",IF(F792&lt;=90,"61-90","90+"))))</f>
        <v/>
      </c>
    </row>
    <row r="793">
      <c r="A793" t="inlineStr">
        <is>
          <t>0009027147</t>
        </is>
      </c>
      <c r="B793" t="inlineStr">
        <is>
          <t>0000100364</t>
        </is>
      </c>
      <c r="C793" s="3" t="n">
        <v>45961</v>
      </c>
      <c r="D793" s="3" t="n">
        <v>46021</v>
      </c>
      <c r="E793" s="4" t="n">
        <v>308.06</v>
      </c>
      <c r="F793">
        <f>Summary!$B$3-D793</f>
        <v/>
      </c>
      <c r="G793">
        <f>IF(D793&gt;Summary!$B$3,"Current",IF(F793&lt;=30,"0-30",IF(F793&lt;=60,"31-60",IF(F793&lt;=90,"61-90","90+"))))</f>
        <v/>
      </c>
    </row>
    <row r="794">
      <c r="A794" t="inlineStr">
        <is>
          <t>0009027153</t>
        </is>
      </c>
      <c r="B794" t="inlineStr">
        <is>
          <t>0000100002</t>
        </is>
      </c>
      <c r="C794" s="3" t="n">
        <v>45951</v>
      </c>
      <c r="D794" s="3" t="n">
        <v>46011</v>
      </c>
      <c r="E794" s="4" t="n">
        <v>391.85</v>
      </c>
      <c r="F794">
        <f>Summary!$B$3-D794</f>
        <v/>
      </c>
      <c r="G794">
        <f>IF(D794&gt;Summary!$B$3,"Current",IF(F794&lt;=30,"0-30",IF(F794&lt;=60,"31-60",IF(F794&lt;=90,"61-90","90+"))))</f>
        <v/>
      </c>
    </row>
    <row r="795">
      <c r="A795" t="inlineStr">
        <is>
          <t>0009027160</t>
        </is>
      </c>
      <c r="B795" t="inlineStr">
        <is>
          <t>0000100097</t>
        </is>
      </c>
      <c r="C795" s="3" t="n">
        <v>45945</v>
      </c>
      <c r="D795" s="3" t="n">
        <v>45990</v>
      </c>
      <c r="E795" s="4" t="n">
        <v>2265.45</v>
      </c>
      <c r="F795">
        <f>Summary!$B$3-D795</f>
        <v/>
      </c>
      <c r="G795">
        <f>IF(D795&gt;Summary!$B$3,"Current",IF(F795&lt;=30,"0-30",IF(F795&lt;=60,"31-60",IF(F795&lt;=90,"61-90","90+"))))</f>
        <v/>
      </c>
    </row>
    <row r="796">
      <c r="A796" t="inlineStr">
        <is>
          <t>0009027171</t>
        </is>
      </c>
      <c r="B796" t="inlineStr">
        <is>
          <t>0000100355</t>
        </is>
      </c>
      <c r="C796" s="3" t="n">
        <v>45953</v>
      </c>
      <c r="D796" s="3" t="n">
        <v>46013</v>
      </c>
      <c r="E796" s="4" t="n">
        <v>2517.89</v>
      </c>
      <c r="F796">
        <f>Summary!$B$3-D796</f>
        <v/>
      </c>
      <c r="G796">
        <f>IF(D796&gt;Summary!$B$3,"Current",IF(F796&lt;=30,"0-30",IF(F796&lt;=60,"31-60",IF(F796&lt;=90,"61-90","90+"))))</f>
        <v/>
      </c>
    </row>
    <row r="797">
      <c r="A797" t="inlineStr">
        <is>
          <t>0009027179</t>
        </is>
      </c>
      <c r="B797" t="inlineStr">
        <is>
          <t>0000100103</t>
        </is>
      </c>
      <c r="C797" s="3" t="n">
        <v>45951</v>
      </c>
      <c r="D797" s="3" t="n">
        <v>46011</v>
      </c>
      <c r="E797" s="4" t="n">
        <v>513.88</v>
      </c>
      <c r="F797">
        <f>Summary!$B$3-D797</f>
        <v/>
      </c>
      <c r="G797">
        <f>IF(D797&gt;Summary!$B$3,"Current",IF(F797&lt;=30,"0-30",IF(F797&lt;=60,"31-60",IF(F797&lt;=90,"61-90","90+"))))</f>
        <v/>
      </c>
    </row>
    <row r="798">
      <c r="A798" t="inlineStr">
        <is>
          <t>0009027189</t>
        </is>
      </c>
      <c r="B798" t="inlineStr">
        <is>
          <t>0000100513</t>
        </is>
      </c>
      <c r="C798" s="3" t="n">
        <v>45952</v>
      </c>
      <c r="D798" s="3" t="n">
        <v>46012</v>
      </c>
      <c r="E798" s="4" t="n">
        <v>1397.37</v>
      </c>
      <c r="F798">
        <f>Summary!$B$3-D798</f>
        <v/>
      </c>
      <c r="G798">
        <f>IF(D798&gt;Summary!$B$3,"Current",IF(F798&lt;=30,"0-30",IF(F798&lt;=60,"31-60",IF(F798&lt;=90,"61-90","90+"))))</f>
        <v/>
      </c>
    </row>
    <row r="799">
      <c r="A799" t="inlineStr">
        <is>
          <t>0009027205</t>
        </is>
      </c>
      <c r="B799" t="inlineStr">
        <is>
          <t>0000100002</t>
        </is>
      </c>
      <c r="C799" s="3" t="n">
        <v>45953</v>
      </c>
      <c r="D799" s="3" t="n">
        <v>46013</v>
      </c>
      <c r="E799" s="4" t="n">
        <v>6642.94</v>
      </c>
      <c r="F799">
        <f>Summary!$B$3-D799</f>
        <v/>
      </c>
      <c r="G799">
        <f>IF(D799&gt;Summary!$B$3,"Current",IF(F799&lt;=30,"0-30",IF(F799&lt;=60,"31-60",IF(F799&lt;=90,"61-90","90+"))))</f>
        <v/>
      </c>
    </row>
    <row r="800">
      <c r="A800" t="inlineStr">
        <is>
          <t>0009027213</t>
        </is>
      </c>
      <c r="B800" t="inlineStr">
        <is>
          <t>0000100107</t>
        </is>
      </c>
      <c r="C800" s="3" t="n">
        <v>45955</v>
      </c>
      <c r="D800" s="3" t="n">
        <v>46000</v>
      </c>
      <c r="E800" s="4" t="n">
        <v>448</v>
      </c>
      <c r="F800">
        <f>Summary!$B$3-D800</f>
        <v/>
      </c>
      <c r="G800">
        <f>IF(D800&gt;Summary!$B$3,"Current",IF(F800&lt;=30,"0-30",IF(F800&lt;=60,"31-60",IF(F800&lt;=90,"61-90","90+"))))</f>
        <v/>
      </c>
    </row>
    <row r="801">
      <c r="A801" t="inlineStr">
        <is>
          <t>0009027214</t>
        </is>
      </c>
      <c r="B801" t="inlineStr">
        <is>
          <t>0000100254</t>
        </is>
      </c>
      <c r="C801" s="3" t="n">
        <v>45957</v>
      </c>
      <c r="D801" s="3" t="n">
        <v>45987</v>
      </c>
      <c r="E801" s="4" t="n">
        <v>929.74</v>
      </c>
      <c r="F801">
        <f>Summary!$B$3-D801</f>
        <v/>
      </c>
      <c r="G801">
        <f>IF(D801&gt;Summary!$B$3,"Current",IF(F801&lt;=30,"0-30",IF(F801&lt;=60,"31-60",IF(F801&lt;=90,"61-90","90+"))))</f>
        <v/>
      </c>
    </row>
    <row r="802">
      <c r="A802" t="inlineStr">
        <is>
          <t>0009027217</t>
        </is>
      </c>
      <c r="B802" t="inlineStr">
        <is>
          <t>0000100465</t>
        </is>
      </c>
      <c r="C802" s="3" t="n">
        <v>45949</v>
      </c>
      <c r="D802" s="3" t="n">
        <v>46009</v>
      </c>
      <c r="E802" s="4" t="n">
        <v>3146.02</v>
      </c>
      <c r="F802">
        <f>Summary!$B$3-D802</f>
        <v/>
      </c>
      <c r="G802">
        <f>IF(D802&gt;Summary!$B$3,"Current",IF(F802&lt;=30,"0-30",IF(F802&lt;=60,"31-60",IF(F802&lt;=90,"61-90","90+"))))</f>
        <v/>
      </c>
    </row>
    <row r="803">
      <c r="A803" t="inlineStr">
        <is>
          <t>0009027218</t>
        </is>
      </c>
      <c r="B803" t="inlineStr">
        <is>
          <t>0000100051</t>
        </is>
      </c>
      <c r="C803" s="3" t="n">
        <v>45953</v>
      </c>
      <c r="D803" s="3" t="n">
        <v>46013</v>
      </c>
      <c r="E803" s="4" t="n">
        <v>1420.39</v>
      </c>
      <c r="F803">
        <f>Summary!$B$3-D803</f>
        <v/>
      </c>
      <c r="G803">
        <f>IF(D803&gt;Summary!$B$3,"Current",IF(F803&lt;=30,"0-30",IF(F803&lt;=60,"31-60",IF(F803&lt;=90,"61-90","90+"))))</f>
        <v/>
      </c>
    </row>
    <row r="804">
      <c r="A804" t="inlineStr">
        <is>
          <t>0009027223</t>
        </is>
      </c>
      <c r="B804" t="inlineStr">
        <is>
          <t>0000100073</t>
        </is>
      </c>
      <c r="C804" s="3" t="n">
        <v>45951</v>
      </c>
      <c r="D804" s="3" t="n">
        <v>45996</v>
      </c>
      <c r="E804" s="4" t="n">
        <v>3358.06</v>
      </c>
      <c r="F804">
        <f>Summary!$B$3-D804</f>
        <v/>
      </c>
      <c r="G804">
        <f>IF(D804&gt;Summary!$B$3,"Current",IF(F804&lt;=30,"0-30",IF(F804&lt;=60,"31-60",IF(F804&lt;=90,"61-90","90+"))))</f>
        <v/>
      </c>
    </row>
    <row r="805">
      <c r="A805" t="inlineStr">
        <is>
          <t>0009027233</t>
        </is>
      </c>
      <c r="B805" t="inlineStr">
        <is>
          <t>0000100228</t>
        </is>
      </c>
      <c r="C805" s="3" t="n">
        <v>45952</v>
      </c>
      <c r="D805" s="3" t="n">
        <v>46012</v>
      </c>
      <c r="E805" s="4" t="n">
        <v>587.01</v>
      </c>
      <c r="F805">
        <f>Summary!$B$3-D805</f>
        <v/>
      </c>
      <c r="G805">
        <f>IF(D805&gt;Summary!$B$3,"Current",IF(F805&lt;=30,"0-30",IF(F805&lt;=60,"31-60",IF(F805&lt;=90,"61-90","90+"))))</f>
        <v/>
      </c>
    </row>
    <row r="806">
      <c r="A806" t="inlineStr">
        <is>
          <t>0009027242</t>
        </is>
      </c>
      <c r="B806" t="inlineStr">
        <is>
          <t>0000100291</t>
        </is>
      </c>
      <c r="C806" s="3" t="n">
        <v>45956</v>
      </c>
      <c r="D806" s="3" t="n">
        <v>46016</v>
      </c>
      <c r="E806" s="4" t="n">
        <v>1821.05</v>
      </c>
      <c r="F806">
        <f>Summary!$B$3-D806</f>
        <v/>
      </c>
      <c r="G806">
        <f>IF(D806&gt;Summary!$B$3,"Current",IF(F806&lt;=30,"0-30",IF(F806&lt;=60,"31-60",IF(F806&lt;=90,"61-90","90+"))))</f>
        <v/>
      </c>
    </row>
    <row r="807">
      <c r="A807" t="inlineStr">
        <is>
          <t>0009027250</t>
        </is>
      </c>
      <c r="B807" t="inlineStr">
        <is>
          <t>0000100245</t>
        </is>
      </c>
      <c r="C807" s="3" t="n">
        <v>45955</v>
      </c>
      <c r="D807" s="3" t="n">
        <v>46015</v>
      </c>
      <c r="E807" s="4" t="n">
        <v>1292.74</v>
      </c>
      <c r="F807">
        <f>Summary!$B$3-D807</f>
        <v/>
      </c>
      <c r="G807">
        <f>IF(D807&gt;Summary!$B$3,"Current",IF(F807&lt;=30,"0-30",IF(F807&lt;=60,"31-60",IF(F807&lt;=90,"61-90","90+"))))</f>
        <v/>
      </c>
    </row>
    <row r="808">
      <c r="A808" t="inlineStr">
        <is>
          <t>0009027266</t>
        </is>
      </c>
      <c r="B808" t="inlineStr">
        <is>
          <t>0000100002</t>
        </is>
      </c>
      <c r="C808" s="3" t="n">
        <v>45953</v>
      </c>
      <c r="D808" s="3" t="n">
        <v>46013</v>
      </c>
      <c r="E808" s="4" t="n">
        <v>697.8</v>
      </c>
      <c r="F808">
        <f>Summary!$B$3-D808</f>
        <v/>
      </c>
      <c r="G808">
        <f>IF(D808&gt;Summary!$B$3,"Current",IF(F808&lt;=30,"0-30",IF(F808&lt;=60,"31-60",IF(F808&lt;=90,"61-90","90+"))))</f>
        <v/>
      </c>
    </row>
    <row r="809">
      <c r="A809" t="inlineStr">
        <is>
          <t>0009027283</t>
        </is>
      </c>
      <c r="B809" t="inlineStr">
        <is>
          <t>0000100348</t>
        </is>
      </c>
      <c r="C809" s="3" t="n">
        <v>45956</v>
      </c>
      <c r="D809" s="3" t="n">
        <v>46016</v>
      </c>
      <c r="E809" s="4" t="n">
        <v>2529.04</v>
      </c>
      <c r="F809">
        <f>Summary!$B$3-D809</f>
        <v/>
      </c>
      <c r="G809">
        <f>IF(D809&gt;Summary!$B$3,"Current",IF(F809&lt;=30,"0-30",IF(F809&lt;=60,"31-60",IF(F809&lt;=90,"61-90","90+"))))</f>
        <v/>
      </c>
    </row>
    <row r="810">
      <c r="A810" t="inlineStr">
        <is>
          <t>0009027294</t>
        </is>
      </c>
      <c r="B810" t="inlineStr">
        <is>
          <t>0000100158</t>
        </is>
      </c>
      <c r="C810" s="3" t="n">
        <v>45950</v>
      </c>
      <c r="D810" s="3" t="n">
        <v>45980</v>
      </c>
      <c r="E810" s="4" t="n">
        <v>608.67</v>
      </c>
      <c r="F810">
        <f>Summary!$B$3-D810</f>
        <v/>
      </c>
      <c r="G810">
        <f>IF(D810&gt;Summary!$B$3,"Current",IF(F810&lt;=30,"0-30",IF(F810&lt;=60,"31-60",IF(F810&lt;=90,"61-90","90+"))))</f>
        <v/>
      </c>
    </row>
    <row r="811">
      <c r="A811" t="inlineStr">
        <is>
          <t>0009027298</t>
        </is>
      </c>
      <c r="B811" t="inlineStr">
        <is>
          <t>0000100456</t>
        </is>
      </c>
      <c r="C811" s="3" t="n">
        <v>45953</v>
      </c>
      <c r="D811" s="3" t="n">
        <v>46013</v>
      </c>
      <c r="E811" s="4" t="n">
        <v>1632.68</v>
      </c>
      <c r="F811">
        <f>Summary!$B$3-D811</f>
        <v/>
      </c>
      <c r="G811">
        <f>IF(D811&gt;Summary!$B$3,"Current",IF(F811&lt;=30,"0-30",IF(F811&lt;=60,"31-60",IF(F811&lt;=90,"61-90","90+"))))</f>
        <v/>
      </c>
    </row>
    <row r="812">
      <c r="A812" t="inlineStr">
        <is>
          <t>0009027305</t>
        </is>
      </c>
      <c r="B812" t="inlineStr">
        <is>
          <t>0000100206</t>
        </is>
      </c>
      <c r="C812" s="3" t="n">
        <v>45956</v>
      </c>
      <c r="D812" s="3" t="n">
        <v>46001</v>
      </c>
      <c r="E812" s="4" t="n">
        <v>1369.45</v>
      </c>
      <c r="F812">
        <f>Summary!$B$3-D812</f>
        <v/>
      </c>
      <c r="G812">
        <f>IF(D812&gt;Summary!$B$3,"Current",IF(F812&lt;=30,"0-30",IF(F812&lt;=60,"31-60",IF(F812&lt;=90,"61-90","90+"))))</f>
        <v/>
      </c>
    </row>
    <row r="813">
      <c r="A813" t="inlineStr">
        <is>
          <t>0009027309</t>
        </is>
      </c>
      <c r="B813" t="inlineStr">
        <is>
          <t>0000100417</t>
        </is>
      </c>
      <c r="C813" s="3" t="n">
        <v>45962</v>
      </c>
      <c r="D813" s="3" t="n">
        <v>46022</v>
      </c>
      <c r="E813" s="4" t="n">
        <v>979.17</v>
      </c>
      <c r="F813">
        <f>Summary!$B$3-D813</f>
        <v/>
      </c>
      <c r="G813">
        <f>IF(D813&gt;Summary!$B$3,"Current",IF(F813&lt;=30,"0-30",IF(F813&lt;=60,"31-60",IF(F813&lt;=90,"61-90","90+"))))</f>
        <v/>
      </c>
    </row>
    <row r="814">
      <c r="A814" t="inlineStr">
        <is>
          <t>0009027319</t>
        </is>
      </c>
      <c r="B814" t="inlineStr">
        <is>
          <t>0000100028</t>
        </is>
      </c>
      <c r="C814" s="3" t="n">
        <v>45953</v>
      </c>
      <c r="D814" s="3" t="n">
        <v>45998</v>
      </c>
      <c r="E814" s="4" t="n">
        <v>149.65</v>
      </c>
      <c r="F814">
        <f>Summary!$B$3-D814</f>
        <v/>
      </c>
      <c r="G814">
        <f>IF(D814&gt;Summary!$B$3,"Current",IF(F814&lt;=30,"0-30",IF(F814&lt;=60,"31-60",IF(F814&lt;=90,"61-90","90+"))))</f>
        <v/>
      </c>
    </row>
    <row r="815">
      <c r="A815" t="inlineStr">
        <is>
          <t>0009027322</t>
        </is>
      </c>
      <c r="B815" t="inlineStr">
        <is>
          <t>0000100417</t>
        </is>
      </c>
      <c r="C815" s="3" t="n">
        <v>45956</v>
      </c>
      <c r="D815" s="3" t="n">
        <v>46016</v>
      </c>
      <c r="E815" s="4" t="n">
        <v>1028.64</v>
      </c>
      <c r="F815">
        <f>Summary!$B$3-D815</f>
        <v/>
      </c>
      <c r="G815">
        <f>IF(D815&gt;Summary!$B$3,"Current",IF(F815&lt;=30,"0-30",IF(F815&lt;=60,"31-60",IF(F815&lt;=90,"61-90","90+"))))</f>
        <v/>
      </c>
    </row>
    <row r="816">
      <c r="A816" t="inlineStr">
        <is>
          <t>0009027328</t>
        </is>
      </c>
      <c r="B816" t="inlineStr">
        <is>
          <t>0000100196</t>
        </is>
      </c>
      <c r="C816" s="3" t="n">
        <v>45955</v>
      </c>
      <c r="D816" s="3" t="n">
        <v>45985</v>
      </c>
      <c r="E816" s="4" t="n">
        <v>4556.9</v>
      </c>
      <c r="F816">
        <f>Summary!$B$3-D816</f>
        <v/>
      </c>
      <c r="G816">
        <f>IF(D816&gt;Summary!$B$3,"Current",IF(F816&lt;=30,"0-30",IF(F816&lt;=60,"31-60",IF(F816&lt;=90,"61-90","90+"))))</f>
        <v/>
      </c>
    </row>
    <row r="817">
      <c r="A817" t="inlineStr">
        <is>
          <t>0009027330</t>
        </is>
      </c>
      <c r="B817" t="inlineStr">
        <is>
          <t>0000100512</t>
        </is>
      </c>
      <c r="C817" s="3" t="n">
        <v>45954</v>
      </c>
      <c r="D817" s="3" t="n">
        <v>45999</v>
      </c>
      <c r="E817" s="4" t="n">
        <v>668.36</v>
      </c>
      <c r="F817">
        <f>Summary!$B$3-D817</f>
        <v/>
      </c>
      <c r="G817">
        <f>IF(D817&gt;Summary!$B$3,"Current",IF(F817&lt;=30,"0-30",IF(F817&lt;=60,"31-60",IF(F817&lt;=90,"61-90","90+"))))</f>
        <v/>
      </c>
    </row>
    <row r="818">
      <c r="A818" t="inlineStr">
        <is>
          <t>0009027337</t>
        </is>
      </c>
      <c r="B818" t="inlineStr">
        <is>
          <t>0000100321</t>
        </is>
      </c>
      <c r="C818" s="3" t="n">
        <v>45959</v>
      </c>
      <c r="D818" s="3" t="n">
        <v>46019</v>
      </c>
      <c r="E818" s="4" t="n">
        <v>399.72</v>
      </c>
      <c r="F818">
        <f>Summary!$B$3-D818</f>
        <v/>
      </c>
      <c r="G818">
        <f>IF(D818&gt;Summary!$B$3,"Current",IF(F818&lt;=30,"0-30",IF(F818&lt;=60,"31-60",IF(F818&lt;=90,"61-90","90+"))))</f>
        <v/>
      </c>
    </row>
    <row r="819">
      <c r="A819" t="inlineStr">
        <is>
          <t>0009027347</t>
        </is>
      </c>
      <c r="B819" t="inlineStr">
        <is>
          <t>0000100513</t>
        </is>
      </c>
      <c r="C819" s="3" t="n">
        <v>45959</v>
      </c>
      <c r="D819" s="3" t="n">
        <v>46019</v>
      </c>
      <c r="E819" s="4" t="n">
        <v>964.86</v>
      </c>
      <c r="F819">
        <f>Summary!$B$3-D819</f>
        <v/>
      </c>
      <c r="G819">
        <f>IF(D819&gt;Summary!$B$3,"Current",IF(F819&lt;=30,"0-30",IF(F819&lt;=60,"31-60",IF(F819&lt;=90,"61-90","90+"))))</f>
        <v/>
      </c>
    </row>
    <row r="820">
      <c r="A820" t="inlineStr">
        <is>
          <t>0009027356</t>
        </is>
      </c>
      <c r="B820" t="inlineStr">
        <is>
          <t>0000100456</t>
        </is>
      </c>
      <c r="C820" s="3" t="n">
        <v>45953</v>
      </c>
      <c r="D820" s="3" t="n">
        <v>46013</v>
      </c>
      <c r="E820" s="4" t="n">
        <v>344.47</v>
      </c>
      <c r="F820">
        <f>Summary!$B$3-D820</f>
        <v/>
      </c>
      <c r="G820">
        <f>IF(D820&gt;Summary!$B$3,"Current",IF(F820&lt;=30,"0-30",IF(F820&lt;=60,"31-60",IF(F820&lt;=90,"61-90","90+"))))</f>
        <v/>
      </c>
    </row>
    <row r="821">
      <c r="A821" t="inlineStr">
        <is>
          <t>0009027366</t>
        </is>
      </c>
      <c r="B821" t="inlineStr">
        <is>
          <t>0000100513</t>
        </is>
      </c>
      <c r="C821" s="3" t="n">
        <v>45956</v>
      </c>
      <c r="D821" s="3" t="n">
        <v>46016</v>
      </c>
      <c r="E821" s="4" t="n">
        <v>1749.24</v>
      </c>
      <c r="F821">
        <f>Summary!$B$3-D821</f>
        <v/>
      </c>
      <c r="G821">
        <f>IF(D821&gt;Summary!$B$3,"Current",IF(F821&lt;=30,"0-30",IF(F821&lt;=60,"31-60",IF(F821&lt;=90,"61-90","90+"))))</f>
        <v/>
      </c>
    </row>
    <row r="822">
      <c r="A822" t="inlineStr">
        <is>
          <t>0009027375</t>
        </is>
      </c>
      <c r="B822" t="inlineStr">
        <is>
          <t>0000100073</t>
        </is>
      </c>
      <c r="C822" s="3" t="n">
        <v>45966</v>
      </c>
      <c r="D822" s="3" t="n">
        <v>46011</v>
      </c>
      <c r="E822" s="4" t="n">
        <v>943.55</v>
      </c>
      <c r="F822">
        <f>Summary!$B$3-D822</f>
        <v/>
      </c>
      <c r="G822">
        <f>IF(D822&gt;Summary!$B$3,"Current",IF(F822&lt;=30,"0-30",IF(F822&lt;=60,"31-60",IF(F822&lt;=90,"61-90","90+"))))</f>
        <v/>
      </c>
    </row>
    <row r="823">
      <c r="A823" t="inlineStr">
        <is>
          <t>0009027378</t>
        </is>
      </c>
      <c r="B823" t="inlineStr">
        <is>
          <t>0000100002</t>
        </is>
      </c>
      <c r="C823" s="3" t="n">
        <v>45959</v>
      </c>
      <c r="D823" s="3" t="n">
        <v>46019</v>
      </c>
      <c r="E823" s="4" t="n">
        <v>2304.54</v>
      </c>
      <c r="F823">
        <f>Summary!$B$3-D823</f>
        <v/>
      </c>
      <c r="G823">
        <f>IF(D823&gt;Summary!$B$3,"Current",IF(F823&lt;=30,"0-30",IF(F823&lt;=60,"31-60",IF(F823&lt;=90,"61-90","90+"))))</f>
        <v/>
      </c>
    </row>
    <row r="824">
      <c r="A824" t="inlineStr">
        <is>
          <t>0009027379</t>
        </is>
      </c>
      <c r="B824" t="inlineStr">
        <is>
          <t>0000100587</t>
        </is>
      </c>
      <c r="C824" s="3" t="n">
        <v>45958</v>
      </c>
      <c r="D824" s="3" t="n">
        <v>46018</v>
      </c>
      <c r="E824" s="4" t="n">
        <v>352.08</v>
      </c>
      <c r="F824">
        <f>Summary!$B$3-D824</f>
        <v/>
      </c>
      <c r="G824">
        <f>IF(D824&gt;Summary!$B$3,"Current",IF(F824&lt;=30,"0-30",IF(F824&lt;=60,"31-60",IF(F824&lt;=90,"61-90","90+"))))</f>
        <v/>
      </c>
    </row>
    <row r="825">
      <c r="A825" t="inlineStr">
        <is>
          <t>0009027380</t>
        </is>
      </c>
      <c r="B825" t="inlineStr">
        <is>
          <t>0000100304</t>
        </is>
      </c>
      <c r="C825" s="3" t="n">
        <v>45956</v>
      </c>
      <c r="D825" s="3" t="n">
        <v>46016</v>
      </c>
      <c r="E825" s="4" t="n">
        <v>98.7</v>
      </c>
      <c r="F825">
        <f>Summary!$B$3-D825</f>
        <v/>
      </c>
      <c r="G825">
        <f>IF(D825&gt;Summary!$B$3,"Current",IF(F825&lt;=30,"0-30",IF(F825&lt;=60,"31-60",IF(F825&lt;=90,"61-90","90+"))))</f>
        <v/>
      </c>
    </row>
    <row r="826">
      <c r="A826" t="inlineStr">
        <is>
          <t>0009027400</t>
        </is>
      </c>
      <c r="B826" t="inlineStr">
        <is>
          <t>0000100058</t>
        </is>
      </c>
      <c r="C826" s="3" t="n">
        <v>45960</v>
      </c>
      <c r="D826" s="3" t="n">
        <v>46005</v>
      </c>
      <c r="E826" s="4" t="n">
        <v>1458.2</v>
      </c>
      <c r="F826">
        <f>Summary!$B$3-D826</f>
        <v/>
      </c>
      <c r="G826">
        <f>IF(D826&gt;Summary!$B$3,"Current",IF(F826&lt;=30,"0-30",IF(F826&lt;=60,"31-60",IF(F826&lt;=90,"61-90","90+"))))</f>
        <v/>
      </c>
    </row>
    <row r="827">
      <c r="A827" t="inlineStr">
        <is>
          <t>0009027408</t>
        </is>
      </c>
      <c r="B827" t="inlineStr">
        <is>
          <t>0000100382</t>
        </is>
      </c>
      <c r="C827" s="3" t="n">
        <v>45956</v>
      </c>
      <c r="D827" s="3" t="n">
        <v>46001</v>
      </c>
      <c r="E827" s="4" t="n">
        <v>690.5700000000001</v>
      </c>
      <c r="F827">
        <f>Summary!$B$3-D827</f>
        <v/>
      </c>
      <c r="G827">
        <f>IF(D827&gt;Summary!$B$3,"Current",IF(F827&lt;=30,"0-30",IF(F827&lt;=60,"31-60",IF(F827&lt;=90,"61-90","90+"))))</f>
        <v/>
      </c>
    </row>
    <row r="828">
      <c r="A828" t="inlineStr">
        <is>
          <t>0009027414</t>
        </is>
      </c>
      <c r="B828" t="inlineStr">
        <is>
          <t>0000100456</t>
        </is>
      </c>
      <c r="C828" s="3" t="n">
        <v>45957</v>
      </c>
      <c r="D828" s="3" t="n">
        <v>46017</v>
      </c>
      <c r="E828" s="4" t="n">
        <v>1870.99</v>
      </c>
      <c r="F828">
        <f>Summary!$B$3-D828</f>
        <v/>
      </c>
      <c r="G828">
        <f>IF(D828&gt;Summary!$B$3,"Current",IF(F828&lt;=30,"0-30",IF(F828&lt;=60,"31-60",IF(F828&lt;=90,"61-90","90+"))))</f>
        <v/>
      </c>
    </row>
    <row r="829">
      <c r="A829" t="inlineStr">
        <is>
          <t>0009027415</t>
        </is>
      </c>
      <c r="B829" t="inlineStr">
        <is>
          <t>0000100169</t>
        </is>
      </c>
      <c r="C829" s="3" t="n">
        <v>45957</v>
      </c>
      <c r="D829" s="3" t="n">
        <v>46002</v>
      </c>
      <c r="E829" s="4" t="n">
        <v>238.54</v>
      </c>
      <c r="F829">
        <f>Summary!$B$3-D829</f>
        <v/>
      </c>
      <c r="G829">
        <f>IF(D829&gt;Summary!$B$3,"Current",IF(F829&lt;=30,"0-30",IF(F829&lt;=60,"31-60",IF(F829&lt;=90,"61-90","90+"))))</f>
        <v/>
      </c>
    </row>
    <row r="830">
      <c r="A830" t="inlineStr">
        <is>
          <t>0009027421</t>
        </is>
      </c>
      <c r="B830" t="inlineStr">
        <is>
          <t>0000100266</t>
        </is>
      </c>
      <c r="C830" s="3" t="n">
        <v>45959</v>
      </c>
      <c r="D830" s="3" t="n">
        <v>46019</v>
      </c>
      <c r="E830" s="4" t="n">
        <v>545.74</v>
      </c>
      <c r="F830">
        <f>Summary!$B$3-D830</f>
        <v/>
      </c>
      <c r="G830">
        <f>IF(D830&gt;Summary!$B$3,"Current",IF(F830&lt;=30,"0-30",IF(F830&lt;=60,"31-60",IF(F830&lt;=90,"61-90","90+"))))</f>
        <v/>
      </c>
    </row>
    <row r="831">
      <c r="A831" t="inlineStr">
        <is>
          <t>0009027423</t>
        </is>
      </c>
      <c r="B831" t="inlineStr">
        <is>
          <t>0000100002</t>
        </is>
      </c>
      <c r="C831" s="3" t="n">
        <v>45962</v>
      </c>
      <c r="D831" s="3" t="n">
        <v>46022</v>
      </c>
      <c r="E831" s="4" t="n">
        <v>612.6799999999999</v>
      </c>
      <c r="F831">
        <f>Summary!$B$3-D831</f>
        <v/>
      </c>
      <c r="G831">
        <f>IF(D831&gt;Summary!$B$3,"Current",IF(F831&lt;=30,"0-30",IF(F831&lt;=60,"31-60",IF(F831&lt;=90,"61-90","90+"))))</f>
        <v/>
      </c>
    </row>
    <row r="832">
      <c r="A832" t="inlineStr">
        <is>
          <t>0009027424</t>
        </is>
      </c>
      <c r="B832" t="inlineStr">
        <is>
          <t>0000100005</t>
        </is>
      </c>
      <c r="C832" s="3" t="n">
        <v>45960</v>
      </c>
      <c r="D832" s="3" t="n">
        <v>46005</v>
      </c>
      <c r="E832" s="4" t="n">
        <v>985.87</v>
      </c>
      <c r="F832">
        <f>Summary!$B$3-D832</f>
        <v/>
      </c>
      <c r="G832">
        <f>IF(D832&gt;Summary!$B$3,"Current",IF(F832&lt;=30,"0-30",IF(F832&lt;=60,"31-60",IF(F832&lt;=90,"61-90","90+"))))</f>
        <v/>
      </c>
    </row>
    <row r="833">
      <c r="A833" t="inlineStr">
        <is>
          <t>0009027427</t>
        </is>
      </c>
      <c r="B833" t="inlineStr">
        <is>
          <t>0000100598</t>
        </is>
      </c>
      <c r="C833" s="3" t="n">
        <v>45958</v>
      </c>
      <c r="D833" s="3" t="n">
        <v>45988</v>
      </c>
      <c r="E833" s="4" t="n">
        <v>1598.8</v>
      </c>
      <c r="F833">
        <f>Summary!$B$3-D833</f>
        <v/>
      </c>
      <c r="G833">
        <f>IF(D833&gt;Summary!$B$3,"Current",IF(F833&lt;=30,"0-30",IF(F833&lt;=60,"31-60",IF(F833&lt;=90,"61-90","90+"))))</f>
        <v/>
      </c>
    </row>
    <row r="834">
      <c r="A834" t="inlineStr">
        <is>
          <t>0009027432</t>
        </is>
      </c>
      <c r="B834" t="inlineStr">
        <is>
          <t>0000100258</t>
        </is>
      </c>
      <c r="C834" s="3" t="n">
        <v>45966</v>
      </c>
      <c r="D834" s="3" t="n">
        <v>45996</v>
      </c>
      <c r="E834" s="4" t="n">
        <v>387.66</v>
      </c>
      <c r="F834">
        <f>Summary!$B$3-D834</f>
        <v/>
      </c>
      <c r="G834">
        <f>IF(D834&gt;Summary!$B$3,"Current",IF(F834&lt;=30,"0-30",IF(F834&lt;=60,"31-60",IF(F834&lt;=90,"61-90","90+"))))</f>
        <v/>
      </c>
    </row>
    <row r="835">
      <c r="A835" t="inlineStr">
        <is>
          <t>0009027439</t>
        </is>
      </c>
      <c r="B835" t="inlineStr">
        <is>
          <t>0000100052</t>
        </is>
      </c>
      <c r="C835" s="3" t="n">
        <v>45957</v>
      </c>
      <c r="D835" s="3" t="n">
        <v>46002</v>
      </c>
      <c r="E835" s="4" t="n">
        <v>97.41</v>
      </c>
      <c r="F835">
        <f>Summary!$B$3-D835</f>
        <v/>
      </c>
      <c r="G835">
        <f>IF(D835&gt;Summary!$B$3,"Current",IF(F835&lt;=30,"0-30",IF(F835&lt;=60,"31-60",IF(F835&lt;=90,"61-90","90+"))))</f>
        <v/>
      </c>
    </row>
    <row r="836">
      <c r="A836" t="inlineStr">
        <is>
          <t>0009027448</t>
        </is>
      </c>
      <c r="B836" t="inlineStr">
        <is>
          <t>0000100144</t>
        </is>
      </c>
      <c r="C836" s="3" t="n">
        <v>45960</v>
      </c>
      <c r="D836" s="3" t="n">
        <v>46005</v>
      </c>
      <c r="E836" s="4" t="n">
        <v>1503.66</v>
      </c>
      <c r="F836">
        <f>Summary!$B$3-D836</f>
        <v/>
      </c>
      <c r="G836">
        <f>IF(D836&gt;Summary!$B$3,"Current",IF(F836&lt;=30,"0-30",IF(F836&lt;=60,"31-60",IF(F836&lt;=90,"61-90","90+"))))</f>
        <v/>
      </c>
    </row>
    <row r="837">
      <c r="A837" t="inlineStr">
        <is>
          <t>0009027449</t>
        </is>
      </c>
      <c r="B837" t="inlineStr">
        <is>
          <t>0000100260</t>
        </is>
      </c>
      <c r="C837" s="3" t="n">
        <v>45960</v>
      </c>
      <c r="D837" s="3" t="n">
        <v>46005</v>
      </c>
      <c r="E837" s="4" t="n">
        <v>3902.73</v>
      </c>
      <c r="F837">
        <f>Summary!$B$3-D837</f>
        <v/>
      </c>
      <c r="G837">
        <f>IF(D837&gt;Summary!$B$3,"Current",IF(F837&lt;=30,"0-30",IF(F837&lt;=60,"31-60",IF(F837&lt;=90,"61-90","90+"))))</f>
        <v/>
      </c>
    </row>
    <row r="838">
      <c r="A838" t="inlineStr">
        <is>
          <t>0009027450</t>
        </is>
      </c>
      <c r="B838" t="inlineStr">
        <is>
          <t>0000100266</t>
        </is>
      </c>
      <c r="C838" s="3" t="n">
        <v>45955</v>
      </c>
      <c r="D838" s="3" t="n">
        <v>46015</v>
      </c>
      <c r="E838" s="4" t="n">
        <v>2458.18</v>
      </c>
      <c r="F838">
        <f>Summary!$B$3-D838</f>
        <v/>
      </c>
      <c r="G838">
        <f>IF(D838&gt;Summary!$B$3,"Current",IF(F838&lt;=30,"0-30",IF(F838&lt;=60,"31-60",IF(F838&lt;=90,"61-90","90+"))))</f>
        <v/>
      </c>
    </row>
    <row r="839">
      <c r="A839" t="inlineStr">
        <is>
          <t>0009027460</t>
        </is>
      </c>
      <c r="B839" t="inlineStr">
        <is>
          <t>0000100404</t>
        </is>
      </c>
      <c r="C839" s="3" t="n">
        <v>45964</v>
      </c>
      <c r="D839" s="3" t="n">
        <v>46009</v>
      </c>
      <c r="E839" s="4" t="n">
        <v>56.04</v>
      </c>
      <c r="F839">
        <f>Summary!$B$3-D839</f>
        <v/>
      </c>
      <c r="G839">
        <f>IF(D839&gt;Summary!$B$3,"Current",IF(F839&lt;=30,"0-30",IF(F839&lt;=60,"31-60",IF(F839&lt;=90,"61-90","90+"))))</f>
        <v/>
      </c>
    </row>
    <row r="840">
      <c r="A840" t="inlineStr">
        <is>
          <t>0009027472</t>
        </is>
      </c>
      <c r="B840" t="inlineStr">
        <is>
          <t>0000100094</t>
        </is>
      </c>
      <c r="C840" s="3" t="n">
        <v>45961</v>
      </c>
      <c r="D840" s="3" t="n">
        <v>46021</v>
      </c>
      <c r="E840" s="4" t="n">
        <v>760.92</v>
      </c>
      <c r="F840">
        <f>Summary!$B$3-D840</f>
        <v/>
      </c>
      <c r="G840">
        <f>IF(D840&gt;Summary!$B$3,"Current",IF(F840&lt;=30,"0-30",IF(F840&lt;=60,"31-60",IF(F840&lt;=90,"61-90","90+"))))</f>
        <v/>
      </c>
    </row>
    <row r="841">
      <c r="A841" t="inlineStr">
        <is>
          <t>0009027476</t>
        </is>
      </c>
      <c r="B841" t="inlineStr">
        <is>
          <t>0000100094</t>
        </is>
      </c>
      <c r="C841" s="3" t="n">
        <v>45958</v>
      </c>
      <c r="D841" s="3" t="n">
        <v>46018</v>
      </c>
      <c r="E841" s="4" t="n">
        <v>1248.99</v>
      </c>
      <c r="F841">
        <f>Summary!$B$3-D841</f>
        <v/>
      </c>
      <c r="G841">
        <f>IF(D841&gt;Summary!$B$3,"Current",IF(F841&lt;=30,"0-30",IF(F841&lt;=60,"31-60",IF(F841&lt;=90,"61-90","90+"))))</f>
        <v/>
      </c>
    </row>
    <row r="842">
      <c r="A842" t="inlineStr">
        <is>
          <t>0009027479</t>
        </is>
      </c>
      <c r="B842" t="inlineStr">
        <is>
          <t>0000100516</t>
        </is>
      </c>
      <c r="C842" s="3" t="n">
        <v>45961</v>
      </c>
      <c r="D842" s="3" t="n">
        <v>45991</v>
      </c>
      <c r="E842" s="4" t="n">
        <v>687.36</v>
      </c>
      <c r="F842">
        <f>Summary!$B$3-D842</f>
        <v/>
      </c>
      <c r="G842">
        <f>IF(D842&gt;Summary!$B$3,"Current",IF(F842&lt;=30,"0-30",IF(F842&lt;=60,"31-60",IF(F842&lt;=90,"61-90","90+"))))</f>
        <v/>
      </c>
    </row>
    <row r="843">
      <c r="A843" t="inlineStr">
        <is>
          <t>0009027481</t>
        </is>
      </c>
      <c r="B843" t="inlineStr">
        <is>
          <t>0000100348</t>
        </is>
      </c>
      <c r="C843" s="3" t="n">
        <v>45960</v>
      </c>
      <c r="D843" s="3" t="n">
        <v>46020</v>
      </c>
      <c r="E843" s="4" t="n">
        <v>1424.01</v>
      </c>
      <c r="F843">
        <f>Summary!$B$3-D843</f>
        <v/>
      </c>
      <c r="G843">
        <f>IF(D843&gt;Summary!$B$3,"Current",IF(F843&lt;=30,"0-30",IF(F843&lt;=60,"31-60",IF(F843&lt;=90,"61-90","90+"))))</f>
        <v/>
      </c>
    </row>
    <row r="844">
      <c r="A844" t="inlineStr">
        <is>
          <t>0009027490</t>
        </is>
      </c>
      <c r="B844" t="inlineStr">
        <is>
          <t>0000100593</t>
        </is>
      </c>
      <c r="C844" s="3" t="n">
        <v>45963</v>
      </c>
      <c r="D844" s="3" t="n">
        <v>46023</v>
      </c>
      <c r="E844" s="4" t="n">
        <v>2208.78</v>
      </c>
      <c r="F844">
        <f>Summary!$B$3-D844</f>
        <v/>
      </c>
      <c r="G844">
        <f>IF(D844&gt;Summary!$B$3,"Current",IF(F844&lt;=30,"0-30",IF(F844&lt;=60,"31-60",IF(F844&lt;=90,"61-90","90+"))))</f>
        <v/>
      </c>
    </row>
    <row r="845">
      <c r="A845" t="inlineStr">
        <is>
          <t>0009027500</t>
        </is>
      </c>
      <c r="B845" t="inlineStr">
        <is>
          <t>0000100450</t>
        </is>
      </c>
      <c r="C845" s="3" t="n">
        <v>45962</v>
      </c>
      <c r="D845" s="3" t="n">
        <v>46007</v>
      </c>
      <c r="E845" s="4" t="n">
        <v>501.5</v>
      </c>
      <c r="F845">
        <f>Summary!$B$3-D845</f>
        <v/>
      </c>
      <c r="G845">
        <f>IF(D845&gt;Summary!$B$3,"Current",IF(F845&lt;=30,"0-30",IF(F845&lt;=60,"31-60",IF(F845&lt;=90,"61-90","90+"))))</f>
        <v/>
      </c>
    </row>
    <row r="846">
      <c r="A846" t="inlineStr">
        <is>
          <t>0009027507</t>
        </is>
      </c>
      <c r="B846" t="inlineStr">
        <is>
          <t>0000100004</t>
        </is>
      </c>
      <c r="C846" s="3" t="n">
        <v>45958</v>
      </c>
      <c r="D846" s="3" t="n">
        <v>46018</v>
      </c>
      <c r="E846" s="4" t="n">
        <v>1825.74</v>
      </c>
      <c r="F846">
        <f>Summary!$B$3-D846</f>
        <v/>
      </c>
      <c r="G846">
        <f>IF(D846&gt;Summary!$B$3,"Current",IF(F846&lt;=30,"0-30",IF(F846&lt;=60,"31-60",IF(F846&lt;=90,"61-90","90+"))))</f>
        <v/>
      </c>
    </row>
    <row r="847">
      <c r="A847" t="inlineStr">
        <is>
          <t>0009027509</t>
        </is>
      </c>
      <c r="B847" t="inlineStr">
        <is>
          <t>0000100348</t>
        </is>
      </c>
      <c r="C847" s="3" t="n">
        <v>45968</v>
      </c>
      <c r="D847" s="3" t="n">
        <v>46028</v>
      </c>
      <c r="E847" s="4" t="n">
        <v>1567.02</v>
      </c>
      <c r="F847">
        <f>Summary!$B$3-D847</f>
        <v/>
      </c>
      <c r="G847">
        <f>IF(D847&gt;Summary!$B$3,"Current",IF(F847&lt;=30,"0-30",IF(F847&lt;=60,"31-60",IF(F847&lt;=90,"61-90","90+"))))</f>
        <v/>
      </c>
    </row>
    <row r="848">
      <c r="A848" t="inlineStr">
        <is>
          <t>0009027511</t>
        </is>
      </c>
      <c r="B848" t="inlineStr">
        <is>
          <t>0000100417</t>
        </is>
      </c>
      <c r="C848" s="3" t="n">
        <v>45961</v>
      </c>
      <c r="D848" s="3" t="n">
        <v>46021</v>
      </c>
      <c r="E848" s="4" t="n">
        <v>1762.08</v>
      </c>
      <c r="F848">
        <f>Summary!$B$3-D848</f>
        <v/>
      </c>
      <c r="G848">
        <f>IF(D848&gt;Summary!$B$3,"Current",IF(F848&lt;=30,"0-30",IF(F848&lt;=60,"31-60",IF(F848&lt;=90,"61-90","90+"))))</f>
        <v/>
      </c>
    </row>
    <row r="849">
      <c r="A849" t="inlineStr">
        <is>
          <t>0009027512</t>
        </is>
      </c>
      <c r="B849" t="inlineStr">
        <is>
          <t>0000100508</t>
        </is>
      </c>
      <c r="C849" s="3" t="n">
        <v>45959</v>
      </c>
      <c r="D849" s="3" t="n">
        <v>46019</v>
      </c>
      <c r="E849" s="4" t="n">
        <v>19120.76</v>
      </c>
      <c r="F849">
        <f>Summary!$B$3-D849</f>
        <v/>
      </c>
      <c r="G849">
        <f>IF(D849&gt;Summary!$B$3,"Current",IF(F849&lt;=30,"0-30",IF(F849&lt;=60,"31-60",IF(F849&lt;=90,"61-90","90+"))))</f>
        <v/>
      </c>
    </row>
    <row r="850">
      <c r="A850" t="inlineStr">
        <is>
          <t>0009027514</t>
        </is>
      </c>
      <c r="B850" t="inlineStr">
        <is>
          <t>0000100543</t>
        </is>
      </c>
      <c r="C850" s="3" t="n">
        <v>45954</v>
      </c>
      <c r="D850" s="3" t="n">
        <v>46014</v>
      </c>
      <c r="E850" s="4" t="n">
        <v>1331.16</v>
      </c>
      <c r="F850">
        <f>Summary!$B$3-D850</f>
        <v/>
      </c>
      <c r="G850">
        <f>IF(D850&gt;Summary!$B$3,"Current",IF(F850&lt;=30,"0-30",IF(F850&lt;=60,"31-60",IF(F850&lt;=90,"61-90","90+"))))</f>
        <v/>
      </c>
    </row>
    <row r="851">
      <c r="A851" t="inlineStr">
        <is>
          <t>0009027521</t>
        </is>
      </c>
      <c r="B851" t="inlineStr">
        <is>
          <t>0000100219</t>
        </is>
      </c>
      <c r="C851" s="3" t="n">
        <v>45964</v>
      </c>
      <c r="D851" s="3" t="n">
        <v>45994</v>
      </c>
      <c r="E851" s="4" t="n">
        <v>2846.38</v>
      </c>
      <c r="F851">
        <f>Summary!$B$3-D851</f>
        <v/>
      </c>
      <c r="G851">
        <f>IF(D851&gt;Summary!$B$3,"Current",IF(F851&lt;=30,"0-30",IF(F851&lt;=60,"31-60",IF(F851&lt;=90,"61-90","90+"))))</f>
        <v/>
      </c>
    </row>
    <row r="852">
      <c r="A852" t="inlineStr">
        <is>
          <t>0009027531</t>
        </is>
      </c>
      <c r="B852" t="inlineStr">
        <is>
          <t>0000100313</t>
        </is>
      </c>
      <c r="C852" s="3" t="n">
        <v>45961</v>
      </c>
      <c r="D852" s="3" t="n">
        <v>46021</v>
      </c>
      <c r="E852" s="4" t="n">
        <v>464.95</v>
      </c>
      <c r="F852">
        <f>Summary!$B$3-D852</f>
        <v/>
      </c>
      <c r="G852">
        <f>IF(D852&gt;Summary!$B$3,"Current",IF(F852&lt;=30,"0-30",IF(F852&lt;=60,"31-60",IF(F852&lt;=90,"61-90","90+"))))</f>
        <v/>
      </c>
    </row>
    <row r="853">
      <c r="A853" t="inlineStr">
        <is>
          <t>0009027542</t>
        </is>
      </c>
      <c r="B853" t="inlineStr">
        <is>
          <t>0000100456</t>
        </is>
      </c>
      <c r="C853" s="3" t="n">
        <v>45958</v>
      </c>
      <c r="D853" s="3" t="n">
        <v>46018</v>
      </c>
      <c r="E853" s="4" t="n">
        <v>27.48</v>
      </c>
      <c r="F853">
        <f>Summary!$B$3-D853</f>
        <v/>
      </c>
      <c r="G853">
        <f>IF(D853&gt;Summary!$B$3,"Current",IF(F853&lt;=30,"0-30",IF(F853&lt;=60,"31-60",IF(F853&lt;=90,"61-90","90+"))))</f>
        <v/>
      </c>
    </row>
    <row r="854">
      <c r="A854" t="inlineStr">
        <is>
          <t>0009027550</t>
        </is>
      </c>
      <c r="B854" t="inlineStr">
        <is>
          <t>0000100529</t>
        </is>
      </c>
      <c r="C854" s="3" t="n">
        <v>45963</v>
      </c>
      <c r="D854" s="3" t="n">
        <v>46023</v>
      </c>
      <c r="E854" s="4" t="n">
        <v>1371.93</v>
      </c>
      <c r="F854">
        <f>Summary!$B$3-D854</f>
        <v/>
      </c>
      <c r="G854">
        <f>IF(D854&gt;Summary!$B$3,"Current",IF(F854&lt;=30,"0-30",IF(F854&lt;=60,"31-60",IF(F854&lt;=90,"61-90","90+"))))</f>
        <v/>
      </c>
    </row>
    <row r="855">
      <c r="A855" t="inlineStr">
        <is>
          <t>0009027551</t>
        </is>
      </c>
      <c r="B855" t="inlineStr">
        <is>
          <t>0000100371</t>
        </is>
      </c>
      <c r="C855" s="3" t="n">
        <v>45974</v>
      </c>
      <c r="D855" s="3" t="n">
        <v>46004</v>
      </c>
      <c r="E855" s="4" t="n">
        <v>1445.94</v>
      </c>
      <c r="F855">
        <f>Summary!$B$3-D855</f>
        <v/>
      </c>
      <c r="G855">
        <f>IF(D855&gt;Summary!$B$3,"Current",IF(F855&lt;=30,"0-30",IF(F855&lt;=60,"31-60",IF(F855&lt;=90,"61-90","90+"))))</f>
        <v/>
      </c>
    </row>
    <row r="856">
      <c r="A856" t="inlineStr">
        <is>
          <t>0009027552</t>
        </is>
      </c>
      <c r="B856" t="inlineStr">
        <is>
          <t>0000100357</t>
        </is>
      </c>
      <c r="C856" s="3" t="n">
        <v>45961</v>
      </c>
      <c r="D856" s="3" t="n">
        <v>46006</v>
      </c>
      <c r="E856" s="4" t="n">
        <v>559.45</v>
      </c>
      <c r="F856">
        <f>Summary!$B$3-D856</f>
        <v/>
      </c>
      <c r="G856">
        <f>IF(D856&gt;Summary!$B$3,"Current",IF(F856&lt;=30,"0-30",IF(F856&lt;=60,"31-60",IF(F856&lt;=90,"61-90","90+"))))</f>
        <v/>
      </c>
    </row>
    <row r="857">
      <c r="A857" t="inlineStr">
        <is>
          <t>0009027558</t>
        </is>
      </c>
      <c r="B857" t="inlineStr">
        <is>
          <t>0000100052</t>
        </is>
      </c>
      <c r="C857" s="3" t="n">
        <v>45964</v>
      </c>
      <c r="D857" s="3" t="n">
        <v>46009</v>
      </c>
      <c r="E857" s="4" t="n">
        <v>1221.54</v>
      </c>
      <c r="F857">
        <f>Summary!$B$3-D857</f>
        <v/>
      </c>
      <c r="G857">
        <f>IF(D857&gt;Summary!$B$3,"Current",IF(F857&lt;=30,"0-30",IF(F857&lt;=60,"31-60",IF(F857&lt;=90,"61-90","90+"))))</f>
        <v/>
      </c>
    </row>
    <row r="858">
      <c r="A858" t="inlineStr">
        <is>
          <t>0009027559</t>
        </is>
      </c>
      <c r="B858" t="inlineStr">
        <is>
          <t>0000100413</t>
        </is>
      </c>
      <c r="C858" s="3" t="n">
        <v>45957</v>
      </c>
      <c r="D858" s="3" t="n">
        <v>46017</v>
      </c>
      <c r="E858" s="4" t="n">
        <v>43.77</v>
      </c>
      <c r="F858">
        <f>Summary!$B$3-D858</f>
        <v/>
      </c>
      <c r="G858">
        <f>IF(D858&gt;Summary!$B$3,"Current",IF(F858&lt;=30,"0-30",IF(F858&lt;=60,"31-60",IF(F858&lt;=90,"61-90","90+"))))</f>
        <v/>
      </c>
    </row>
    <row r="859">
      <c r="A859" t="inlineStr">
        <is>
          <t>0009027565</t>
        </is>
      </c>
      <c r="B859" t="inlineStr">
        <is>
          <t>0000100542</t>
        </is>
      </c>
      <c r="C859" s="3" t="n">
        <v>45961</v>
      </c>
      <c r="D859" s="3" t="n">
        <v>46021</v>
      </c>
      <c r="E859" s="4" t="n">
        <v>80.34</v>
      </c>
      <c r="F859">
        <f>Summary!$B$3-D859</f>
        <v/>
      </c>
      <c r="G859">
        <f>IF(D859&gt;Summary!$B$3,"Current",IF(F859&lt;=30,"0-30",IF(F859&lt;=60,"31-60",IF(F859&lt;=90,"61-90","90+"))))</f>
        <v/>
      </c>
    </row>
    <row r="860">
      <c r="A860" t="inlineStr">
        <is>
          <t>0009027568</t>
        </is>
      </c>
      <c r="B860" t="inlineStr">
        <is>
          <t>0000100313</t>
        </is>
      </c>
      <c r="C860" s="3" t="n">
        <v>45960</v>
      </c>
      <c r="D860" s="3" t="n">
        <v>46020</v>
      </c>
      <c r="E860" s="4" t="n">
        <v>279.8</v>
      </c>
      <c r="F860">
        <f>Summary!$B$3-D860</f>
        <v/>
      </c>
      <c r="G860">
        <f>IF(D860&gt;Summary!$B$3,"Current",IF(F860&lt;=30,"0-30",IF(F860&lt;=60,"31-60",IF(F860&lt;=90,"61-90","90+"))))</f>
        <v/>
      </c>
    </row>
    <row r="861">
      <c r="A861" t="inlineStr">
        <is>
          <t>0009027574</t>
        </is>
      </c>
      <c r="B861" t="inlineStr">
        <is>
          <t>0000100324</t>
        </is>
      </c>
      <c r="C861" s="3" t="n">
        <v>45962</v>
      </c>
      <c r="D861" s="3" t="n">
        <v>45992</v>
      </c>
      <c r="E861" s="4" t="n">
        <v>3448.35</v>
      </c>
      <c r="F861">
        <f>Summary!$B$3-D861</f>
        <v/>
      </c>
      <c r="G861">
        <f>IF(D861&gt;Summary!$B$3,"Current",IF(F861&lt;=30,"0-30",IF(F861&lt;=60,"31-60",IF(F861&lt;=90,"61-90","90+"))))</f>
        <v/>
      </c>
    </row>
    <row r="862">
      <c r="A862" t="inlineStr">
        <is>
          <t>0009027584</t>
        </is>
      </c>
      <c r="B862" t="inlineStr">
        <is>
          <t>0000100377</t>
        </is>
      </c>
      <c r="C862" s="3" t="n">
        <v>45960</v>
      </c>
      <c r="D862" s="3" t="n">
        <v>45990</v>
      </c>
      <c r="E862" s="4" t="n">
        <v>442.37</v>
      </c>
      <c r="F862">
        <f>Summary!$B$3-D862</f>
        <v/>
      </c>
      <c r="G862">
        <f>IF(D862&gt;Summary!$B$3,"Current",IF(F862&lt;=30,"0-30",IF(F862&lt;=60,"31-60",IF(F862&lt;=90,"61-90","90+"))))</f>
        <v/>
      </c>
    </row>
    <row r="863">
      <c r="A863" t="inlineStr">
        <is>
          <t>0009027585</t>
        </is>
      </c>
      <c r="B863" t="inlineStr">
        <is>
          <t>0000100416</t>
        </is>
      </c>
      <c r="C863" s="3" t="n">
        <v>45962</v>
      </c>
      <c r="D863" s="3" t="n">
        <v>46007</v>
      </c>
      <c r="E863" s="4" t="n">
        <v>434.2</v>
      </c>
      <c r="F863">
        <f>Summary!$B$3-D863</f>
        <v/>
      </c>
      <c r="G863">
        <f>IF(D863&gt;Summary!$B$3,"Current",IF(F863&lt;=30,"0-30",IF(F863&lt;=60,"31-60",IF(F863&lt;=90,"61-90","90+"))))</f>
        <v/>
      </c>
    </row>
    <row r="864">
      <c r="A864" t="inlineStr">
        <is>
          <t>0009027586</t>
        </is>
      </c>
      <c r="B864" t="inlineStr">
        <is>
          <t>0000100164</t>
        </is>
      </c>
      <c r="C864" s="3" t="n">
        <v>45964</v>
      </c>
      <c r="D864" s="3" t="n">
        <v>46024</v>
      </c>
      <c r="E864" s="4" t="n">
        <v>698.29</v>
      </c>
      <c r="F864">
        <f>Summary!$B$3-D864</f>
        <v/>
      </c>
      <c r="G864">
        <f>IF(D864&gt;Summary!$B$3,"Current",IF(F864&lt;=30,"0-30",IF(F864&lt;=60,"31-60",IF(F864&lt;=90,"61-90","90+"))))</f>
        <v/>
      </c>
    </row>
    <row r="865">
      <c r="A865" t="inlineStr">
        <is>
          <t>0009027591</t>
        </is>
      </c>
      <c r="B865" t="inlineStr">
        <is>
          <t>0000100539</t>
        </is>
      </c>
      <c r="C865" s="3" t="n">
        <v>45963</v>
      </c>
      <c r="D865" s="3" t="n">
        <v>46008</v>
      </c>
      <c r="E865" s="4" t="n">
        <v>1726.64</v>
      </c>
      <c r="F865">
        <f>Summary!$B$3-D865</f>
        <v/>
      </c>
      <c r="G865">
        <f>IF(D865&gt;Summary!$B$3,"Current",IF(F865&lt;=30,"0-30",IF(F865&lt;=60,"31-60",IF(F865&lt;=90,"61-90","90+"))))</f>
        <v/>
      </c>
    </row>
    <row r="866">
      <c r="A866" t="inlineStr">
        <is>
          <t>0009027602</t>
        </is>
      </c>
      <c r="B866" t="inlineStr">
        <is>
          <t>0000100291</t>
        </is>
      </c>
      <c r="C866" s="3" t="n">
        <v>45964</v>
      </c>
      <c r="D866" s="3" t="n">
        <v>46024</v>
      </c>
      <c r="E866" s="4" t="n">
        <v>1214.59</v>
      </c>
      <c r="F866">
        <f>Summary!$B$3-D866</f>
        <v/>
      </c>
      <c r="G866">
        <f>IF(D866&gt;Summary!$B$3,"Current",IF(F866&lt;=30,"0-30",IF(F866&lt;=60,"31-60",IF(F866&lt;=90,"61-90","90+"))))</f>
        <v/>
      </c>
    </row>
    <row r="867">
      <c r="A867" t="inlineStr">
        <is>
          <t>0009027603</t>
        </is>
      </c>
      <c r="B867" t="inlineStr">
        <is>
          <t>0000100530</t>
        </is>
      </c>
      <c r="C867" s="3" t="n">
        <v>45964</v>
      </c>
      <c r="D867" s="3" t="n">
        <v>46024</v>
      </c>
      <c r="E867" s="4" t="n">
        <v>573.22</v>
      </c>
      <c r="F867">
        <f>Summary!$B$3-D867</f>
        <v/>
      </c>
      <c r="G867">
        <f>IF(D867&gt;Summary!$B$3,"Current",IF(F867&lt;=30,"0-30",IF(F867&lt;=60,"31-60",IF(F867&lt;=90,"61-90","90+"))))</f>
        <v/>
      </c>
    </row>
    <row r="868">
      <c r="A868" t="inlineStr">
        <is>
          <t>0009027611</t>
        </is>
      </c>
      <c r="B868" t="inlineStr">
        <is>
          <t>0000100456</t>
        </is>
      </c>
      <c r="C868" s="3" t="n">
        <v>45961</v>
      </c>
      <c r="D868" s="3" t="n">
        <v>46021</v>
      </c>
      <c r="E868" s="4" t="n">
        <v>1140.39</v>
      </c>
      <c r="F868">
        <f>Summary!$B$3-D868</f>
        <v/>
      </c>
      <c r="G868">
        <f>IF(D868&gt;Summary!$B$3,"Current",IF(F868&lt;=30,"0-30",IF(F868&lt;=60,"31-60",IF(F868&lt;=90,"61-90","90+"))))</f>
        <v/>
      </c>
    </row>
    <row r="869">
      <c r="A869" t="inlineStr">
        <is>
          <t>0009027617</t>
        </is>
      </c>
      <c r="B869" t="inlineStr">
        <is>
          <t>0000100051</t>
        </is>
      </c>
      <c r="C869" s="3" t="n">
        <v>45958</v>
      </c>
      <c r="D869" s="3" t="n">
        <v>46018</v>
      </c>
      <c r="E869" s="4" t="n">
        <v>1272.34</v>
      </c>
      <c r="F869">
        <f>Summary!$B$3-D869</f>
        <v/>
      </c>
      <c r="G869">
        <f>IF(D869&gt;Summary!$B$3,"Current",IF(F869&lt;=30,"0-30",IF(F869&lt;=60,"31-60",IF(F869&lt;=90,"61-90","90+"))))</f>
        <v/>
      </c>
    </row>
    <row r="870">
      <c r="A870" t="inlineStr">
        <is>
          <t>0009027621</t>
        </is>
      </c>
      <c r="B870" t="inlineStr">
        <is>
          <t>0000100338</t>
        </is>
      </c>
      <c r="C870" s="3" t="n">
        <v>45966</v>
      </c>
      <c r="D870" s="3" t="n">
        <v>46026</v>
      </c>
      <c r="E870" s="4" t="n">
        <v>4672.64</v>
      </c>
      <c r="F870">
        <f>Summary!$B$3-D870</f>
        <v/>
      </c>
      <c r="G870">
        <f>IF(D870&gt;Summary!$B$3,"Current",IF(F870&lt;=30,"0-30",IF(F870&lt;=60,"31-60",IF(F870&lt;=90,"61-90","90+"))))</f>
        <v/>
      </c>
    </row>
    <row r="871">
      <c r="A871" t="inlineStr">
        <is>
          <t>0009027623</t>
        </is>
      </c>
      <c r="B871" t="inlineStr">
        <is>
          <t>0000100278</t>
        </is>
      </c>
      <c r="C871" s="3" t="n">
        <v>45966</v>
      </c>
      <c r="D871" s="3" t="n">
        <v>46011</v>
      </c>
      <c r="E871" s="4" t="n">
        <v>3789.33</v>
      </c>
      <c r="F871">
        <f>Summary!$B$3-D871</f>
        <v/>
      </c>
      <c r="G871">
        <f>IF(D871&gt;Summary!$B$3,"Current",IF(F871&lt;=30,"0-30",IF(F871&lt;=60,"31-60",IF(F871&lt;=90,"61-90","90+"))))</f>
        <v/>
      </c>
    </row>
    <row r="872">
      <c r="A872" t="inlineStr">
        <is>
          <t>0009027627</t>
        </is>
      </c>
      <c r="B872" t="inlineStr">
        <is>
          <t>0000100513</t>
        </is>
      </c>
      <c r="C872" s="3" t="n">
        <v>45962</v>
      </c>
      <c r="D872" s="3" t="n">
        <v>46022</v>
      </c>
      <c r="E872" s="4" t="n">
        <v>71.17</v>
      </c>
      <c r="F872">
        <f>Summary!$B$3-D872</f>
        <v/>
      </c>
      <c r="G872">
        <f>IF(D872&gt;Summary!$B$3,"Current",IF(F872&lt;=30,"0-30",IF(F872&lt;=60,"31-60",IF(F872&lt;=90,"61-90","90+"))))</f>
        <v/>
      </c>
    </row>
    <row r="873">
      <c r="A873" t="inlineStr">
        <is>
          <t>0009027633</t>
        </is>
      </c>
      <c r="B873" t="inlineStr">
        <is>
          <t>0000100164</t>
        </is>
      </c>
      <c r="C873" s="3" t="n">
        <v>45960</v>
      </c>
      <c r="D873" s="3" t="n">
        <v>46020</v>
      </c>
      <c r="E873" s="4" t="n">
        <v>863.05</v>
      </c>
      <c r="F873">
        <f>Summary!$B$3-D873</f>
        <v/>
      </c>
      <c r="G873">
        <f>IF(D873&gt;Summary!$B$3,"Current",IF(F873&lt;=30,"0-30",IF(F873&lt;=60,"31-60",IF(F873&lt;=90,"61-90","90+"))))</f>
        <v/>
      </c>
    </row>
    <row r="874">
      <c r="A874" t="inlineStr">
        <is>
          <t>0009027635</t>
        </is>
      </c>
      <c r="B874" t="inlineStr">
        <is>
          <t>0000100571</t>
        </is>
      </c>
      <c r="C874" s="3" t="n">
        <v>45967</v>
      </c>
      <c r="D874" s="3" t="n">
        <v>46012</v>
      </c>
      <c r="E874" s="4" t="n">
        <v>339.36</v>
      </c>
      <c r="F874">
        <f>Summary!$B$3-D874</f>
        <v/>
      </c>
      <c r="G874">
        <f>IF(D874&gt;Summary!$B$3,"Current",IF(F874&lt;=30,"0-30",IF(F874&lt;=60,"31-60",IF(F874&lt;=90,"61-90","90+"))))</f>
        <v/>
      </c>
    </row>
    <row r="875">
      <c r="A875" t="inlineStr">
        <is>
          <t>0009027639</t>
        </is>
      </c>
      <c r="B875" t="inlineStr">
        <is>
          <t>0000100169</t>
        </is>
      </c>
      <c r="C875" s="3" t="n">
        <v>45962</v>
      </c>
      <c r="D875" s="3" t="n">
        <v>46007</v>
      </c>
      <c r="E875" s="4" t="n">
        <v>515.59</v>
      </c>
      <c r="F875">
        <f>Summary!$B$3-D875</f>
        <v/>
      </c>
      <c r="G875">
        <f>IF(D875&gt;Summary!$B$3,"Current",IF(F875&lt;=30,"0-30",IF(F875&lt;=60,"31-60",IF(F875&lt;=90,"61-90","90+"))))</f>
        <v/>
      </c>
    </row>
    <row r="876">
      <c r="A876" t="inlineStr">
        <is>
          <t>0009027644</t>
        </is>
      </c>
      <c r="B876" t="inlineStr">
        <is>
          <t>0000100089</t>
        </is>
      </c>
      <c r="C876" s="3" t="n">
        <v>45965</v>
      </c>
      <c r="D876" s="3" t="n">
        <v>46010</v>
      </c>
      <c r="E876" s="4" t="n">
        <v>1223.23</v>
      </c>
      <c r="F876">
        <f>Summary!$B$3-D876</f>
        <v/>
      </c>
      <c r="G876">
        <f>IF(D876&gt;Summary!$B$3,"Current",IF(F876&lt;=30,"0-30",IF(F876&lt;=60,"31-60",IF(F876&lt;=90,"61-90","90+"))))</f>
        <v/>
      </c>
    </row>
    <row r="877">
      <c r="A877" t="inlineStr">
        <is>
          <t>0009027647</t>
        </is>
      </c>
      <c r="B877" t="inlineStr">
        <is>
          <t>0000100412</t>
        </is>
      </c>
      <c r="C877" s="3" t="n">
        <v>45967</v>
      </c>
      <c r="D877" s="3" t="n">
        <v>45997</v>
      </c>
      <c r="E877" s="4" t="n">
        <v>396</v>
      </c>
      <c r="F877">
        <f>Summary!$B$3-D877</f>
        <v/>
      </c>
      <c r="G877">
        <f>IF(D877&gt;Summary!$B$3,"Current",IF(F877&lt;=30,"0-30",IF(F877&lt;=60,"31-60",IF(F877&lt;=90,"61-90","90+"))))</f>
        <v/>
      </c>
    </row>
    <row r="878">
      <c r="A878" t="inlineStr">
        <is>
          <t>0009027657</t>
        </is>
      </c>
      <c r="B878" t="inlineStr">
        <is>
          <t>0000100585</t>
        </is>
      </c>
      <c r="C878" s="3" t="n">
        <v>45965</v>
      </c>
      <c r="D878" s="3" t="n">
        <v>46025</v>
      </c>
      <c r="E878" s="4" t="n">
        <v>1689.05</v>
      </c>
      <c r="F878">
        <f>Summary!$B$3-D878</f>
        <v/>
      </c>
      <c r="G878">
        <f>IF(D878&gt;Summary!$B$3,"Current",IF(F878&lt;=30,"0-30",IF(F878&lt;=60,"31-60",IF(F878&lt;=90,"61-90","90+"))))</f>
        <v/>
      </c>
    </row>
    <row r="879">
      <c r="A879" t="inlineStr">
        <is>
          <t>0009027658</t>
        </is>
      </c>
      <c r="B879" t="inlineStr">
        <is>
          <t>0000100164</t>
        </is>
      </c>
      <c r="C879" s="3" t="n">
        <v>45968</v>
      </c>
      <c r="D879" s="3" t="n">
        <v>46028</v>
      </c>
      <c r="E879" s="4" t="n">
        <v>197.68</v>
      </c>
      <c r="F879">
        <f>Summary!$B$3-D879</f>
        <v/>
      </c>
      <c r="G879">
        <f>IF(D879&gt;Summary!$B$3,"Current",IF(F879&lt;=30,"0-30",IF(F879&lt;=60,"31-60",IF(F879&lt;=90,"61-90","90+"))))</f>
        <v/>
      </c>
    </row>
    <row r="880">
      <c r="A880" t="inlineStr">
        <is>
          <t>0009027661</t>
        </is>
      </c>
      <c r="B880" t="inlineStr">
        <is>
          <t>0000100424</t>
        </is>
      </c>
      <c r="C880" s="3" t="n">
        <v>45965</v>
      </c>
      <c r="D880" s="3" t="n">
        <v>46010</v>
      </c>
      <c r="E880" s="4" t="n">
        <v>1559.07</v>
      </c>
      <c r="F880">
        <f>Summary!$B$3-D880</f>
        <v/>
      </c>
      <c r="G880">
        <f>IF(D880&gt;Summary!$B$3,"Current",IF(F880&lt;=30,"0-30",IF(F880&lt;=60,"31-60",IF(F880&lt;=90,"61-90","90+"))))</f>
        <v/>
      </c>
    </row>
    <row r="881">
      <c r="A881" t="inlineStr">
        <is>
          <t>0009027665</t>
        </is>
      </c>
      <c r="B881" t="inlineStr">
        <is>
          <t>0000100587</t>
        </is>
      </c>
      <c r="C881" s="3" t="n">
        <v>45963</v>
      </c>
      <c r="D881" s="3" t="n">
        <v>46023</v>
      </c>
      <c r="E881" s="4" t="n">
        <v>434.05</v>
      </c>
      <c r="F881">
        <f>Summary!$B$3-D881</f>
        <v/>
      </c>
      <c r="G881">
        <f>IF(D881&gt;Summary!$B$3,"Current",IF(F881&lt;=30,"0-30",IF(F881&lt;=60,"31-60",IF(F881&lt;=90,"61-90","90+"))))</f>
        <v/>
      </c>
    </row>
    <row r="882">
      <c r="A882" t="inlineStr">
        <is>
          <t>0009027670</t>
        </is>
      </c>
      <c r="B882" t="inlineStr">
        <is>
          <t>0000100269</t>
        </is>
      </c>
      <c r="C882" s="3" t="n">
        <v>45966</v>
      </c>
      <c r="D882" s="3" t="n">
        <v>45996</v>
      </c>
      <c r="E882" s="4" t="n">
        <v>776.65</v>
      </c>
      <c r="F882">
        <f>Summary!$B$3-D882</f>
        <v/>
      </c>
      <c r="G882">
        <f>IF(D882&gt;Summary!$B$3,"Current",IF(F882&lt;=30,"0-30",IF(F882&lt;=60,"31-60",IF(F882&lt;=90,"61-90","90+"))))</f>
        <v/>
      </c>
    </row>
    <row r="883">
      <c r="A883" t="inlineStr">
        <is>
          <t>0009027673</t>
        </is>
      </c>
      <c r="B883" t="inlineStr">
        <is>
          <t>0000100587</t>
        </is>
      </c>
      <c r="C883" s="3" t="n">
        <v>45966</v>
      </c>
      <c r="D883" s="3" t="n">
        <v>46026</v>
      </c>
      <c r="E883" s="4" t="n">
        <v>119.68</v>
      </c>
      <c r="F883">
        <f>Summary!$B$3-D883</f>
        <v/>
      </c>
      <c r="G883">
        <f>IF(D883&gt;Summary!$B$3,"Current",IF(F883&lt;=30,"0-30",IF(F883&lt;=60,"31-60",IF(F883&lt;=90,"61-90","90+"))))</f>
        <v/>
      </c>
    </row>
    <row r="884">
      <c r="A884" t="inlineStr">
        <is>
          <t>0009027675</t>
        </is>
      </c>
      <c r="B884" t="inlineStr">
        <is>
          <t>0000100346</t>
        </is>
      </c>
      <c r="C884" s="3" t="n">
        <v>45967</v>
      </c>
      <c r="D884" s="3" t="n">
        <v>46012</v>
      </c>
      <c r="E884" s="4" t="n">
        <v>191.66</v>
      </c>
      <c r="F884">
        <f>Summary!$B$3-D884</f>
        <v/>
      </c>
      <c r="G884">
        <f>IF(D884&gt;Summary!$B$3,"Current",IF(F884&lt;=30,"0-30",IF(F884&lt;=60,"31-60",IF(F884&lt;=90,"61-90","90+"))))</f>
        <v/>
      </c>
    </row>
    <row r="885">
      <c r="A885" t="inlineStr">
        <is>
          <t>0009027677</t>
        </is>
      </c>
      <c r="B885" t="inlineStr">
        <is>
          <t>0000100529</t>
        </is>
      </c>
      <c r="C885" s="3" t="n">
        <v>45964</v>
      </c>
      <c r="D885" s="3" t="n">
        <v>46024</v>
      </c>
      <c r="E885" s="4" t="n">
        <v>202.32</v>
      </c>
      <c r="F885">
        <f>Summary!$B$3-D885</f>
        <v/>
      </c>
      <c r="G885">
        <f>IF(D885&gt;Summary!$B$3,"Current",IF(F885&lt;=30,"0-30",IF(F885&lt;=60,"31-60",IF(F885&lt;=90,"61-90","90+"))))</f>
        <v/>
      </c>
    </row>
    <row r="886">
      <c r="A886" t="inlineStr">
        <is>
          <t>0009027678</t>
        </is>
      </c>
      <c r="B886" t="inlineStr">
        <is>
          <t>0000100364</t>
        </is>
      </c>
      <c r="C886" s="3" t="n">
        <v>45966</v>
      </c>
      <c r="D886" s="3" t="n">
        <v>46026</v>
      </c>
      <c r="E886" s="4" t="n">
        <v>196.89</v>
      </c>
      <c r="F886">
        <f>Summary!$B$3-D886</f>
        <v/>
      </c>
      <c r="G886">
        <f>IF(D886&gt;Summary!$B$3,"Current",IF(F886&lt;=30,"0-30",IF(F886&lt;=60,"31-60",IF(F886&lt;=90,"61-90","90+"))))</f>
        <v/>
      </c>
    </row>
    <row r="887">
      <c r="A887" t="inlineStr">
        <is>
          <t>0009027680</t>
        </is>
      </c>
      <c r="B887" t="inlineStr">
        <is>
          <t>0000100433</t>
        </is>
      </c>
      <c r="C887" s="3" t="n">
        <v>45962</v>
      </c>
      <c r="D887" s="3" t="n">
        <v>46022</v>
      </c>
      <c r="E887" s="4" t="n">
        <v>357.89</v>
      </c>
      <c r="F887">
        <f>Summary!$B$3-D887</f>
        <v/>
      </c>
      <c r="G887">
        <f>IF(D887&gt;Summary!$B$3,"Current",IF(F887&lt;=30,"0-30",IF(F887&lt;=60,"31-60",IF(F887&lt;=90,"61-90","90+"))))</f>
        <v/>
      </c>
    </row>
    <row r="888">
      <c r="A888" t="inlineStr">
        <is>
          <t>0009027681</t>
        </is>
      </c>
      <c r="B888" t="inlineStr">
        <is>
          <t>0000100417</t>
        </is>
      </c>
      <c r="C888" s="3" t="n">
        <v>45963</v>
      </c>
      <c r="D888" s="3" t="n">
        <v>46023</v>
      </c>
      <c r="E888" s="4" t="n">
        <v>853.6900000000001</v>
      </c>
      <c r="F888">
        <f>Summary!$B$3-D888</f>
        <v/>
      </c>
      <c r="G888">
        <f>IF(D888&gt;Summary!$B$3,"Current",IF(F888&lt;=30,"0-30",IF(F888&lt;=60,"31-60",IF(F888&lt;=90,"61-90","90+"))))</f>
        <v/>
      </c>
    </row>
    <row r="889">
      <c r="A889" t="inlineStr">
        <is>
          <t>0009027682</t>
        </is>
      </c>
      <c r="B889" t="inlineStr">
        <is>
          <t>0000100539</t>
        </is>
      </c>
      <c r="C889" s="3" t="n">
        <v>45965</v>
      </c>
      <c r="D889" s="3" t="n">
        <v>46010</v>
      </c>
      <c r="E889" s="4" t="n">
        <v>631.66</v>
      </c>
      <c r="F889">
        <f>Summary!$B$3-D889</f>
        <v/>
      </c>
      <c r="G889">
        <f>IF(D889&gt;Summary!$B$3,"Current",IF(F889&lt;=30,"0-30",IF(F889&lt;=60,"31-60",IF(F889&lt;=90,"61-90","90+"))))</f>
        <v/>
      </c>
    </row>
    <row r="890">
      <c r="A890" t="inlineStr">
        <is>
          <t>0009027683</t>
        </is>
      </c>
      <c r="B890" t="inlineStr">
        <is>
          <t>0000100272</t>
        </is>
      </c>
      <c r="C890" s="3" t="n">
        <v>45964</v>
      </c>
      <c r="D890" s="3" t="n">
        <v>46024</v>
      </c>
      <c r="E890" s="4" t="n">
        <v>949.5700000000001</v>
      </c>
      <c r="F890">
        <f>Summary!$B$3-D890</f>
        <v/>
      </c>
      <c r="G890">
        <f>IF(D890&gt;Summary!$B$3,"Current",IF(F890&lt;=30,"0-30",IF(F890&lt;=60,"31-60",IF(F890&lt;=90,"61-90","90+"))))</f>
        <v/>
      </c>
    </row>
    <row r="891">
      <c r="A891" t="inlineStr">
        <is>
          <t>0009027684</t>
        </is>
      </c>
      <c r="B891" t="inlineStr">
        <is>
          <t>0000100202</t>
        </is>
      </c>
      <c r="C891" s="3" t="n">
        <v>45969</v>
      </c>
      <c r="D891" s="3" t="n">
        <v>46029</v>
      </c>
      <c r="E891" s="4" t="n">
        <v>19.07</v>
      </c>
      <c r="F891">
        <f>Summary!$B$3-D891</f>
        <v/>
      </c>
      <c r="G891">
        <f>IF(D891&gt;Summary!$B$3,"Current",IF(F891&lt;=30,"0-30",IF(F891&lt;=60,"31-60",IF(F891&lt;=90,"61-90","90+"))))</f>
        <v/>
      </c>
    </row>
    <row r="892">
      <c r="A892" t="inlineStr">
        <is>
          <t>0009027687</t>
        </is>
      </c>
      <c r="B892" t="inlineStr">
        <is>
          <t>0000100278</t>
        </is>
      </c>
      <c r="C892" s="3" t="n">
        <v>45964</v>
      </c>
      <c r="D892" s="3" t="n">
        <v>46009</v>
      </c>
      <c r="E892" s="4" t="n">
        <v>1028.43</v>
      </c>
      <c r="F892">
        <f>Summary!$B$3-D892</f>
        <v/>
      </c>
      <c r="G892">
        <f>IF(D892&gt;Summary!$B$3,"Current",IF(F892&lt;=30,"0-30",IF(F892&lt;=60,"31-60",IF(F892&lt;=90,"61-90","90+"))))</f>
        <v/>
      </c>
    </row>
    <row r="893">
      <c r="A893" t="inlineStr">
        <is>
          <t>0009027688</t>
        </is>
      </c>
      <c r="B893" t="inlineStr">
        <is>
          <t>0000100272</t>
        </is>
      </c>
      <c r="C893" s="3" t="n">
        <v>45967</v>
      </c>
      <c r="D893" s="3" t="n">
        <v>46027</v>
      </c>
      <c r="E893" s="4" t="n">
        <v>198.46</v>
      </c>
      <c r="F893">
        <f>Summary!$B$3-D893</f>
        <v/>
      </c>
      <c r="G893">
        <f>IF(D893&gt;Summary!$B$3,"Current",IF(F893&lt;=30,"0-30",IF(F893&lt;=60,"31-60",IF(F893&lt;=90,"61-90","90+"))))</f>
        <v/>
      </c>
    </row>
    <row r="894">
      <c r="A894" t="inlineStr">
        <is>
          <t>0009027690</t>
        </is>
      </c>
      <c r="B894" t="inlineStr">
        <is>
          <t>0000100542</t>
        </is>
      </c>
      <c r="C894" s="3" t="n">
        <v>45971</v>
      </c>
      <c r="D894" s="3" t="n">
        <v>46031</v>
      </c>
      <c r="E894" s="4" t="n">
        <v>147.52</v>
      </c>
      <c r="F894">
        <f>Summary!$B$3-D894</f>
        <v/>
      </c>
      <c r="G894">
        <f>IF(D894&gt;Summary!$B$3,"Current",IF(F894&lt;=30,"0-30",IF(F894&lt;=60,"31-60",IF(F894&lt;=90,"61-90","90+"))))</f>
        <v/>
      </c>
    </row>
    <row r="895">
      <c r="A895" t="inlineStr">
        <is>
          <t>0009027704</t>
        </is>
      </c>
      <c r="B895" t="inlineStr">
        <is>
          <t>0000100007</t>
        </is>
      </c>
      <c r="C895" s="3" t="n">
        <v>45965</v>
      </c>
      <c r="D895" s="3" t="n">
        <v>45995</v>
      </c>
      <c r="E895" s="4" t="n">
        <v>446.51</v>
      </c>
      <c r="F895">
        <f>Summary!$B$3-D895</f>
        <v/>
      </c>
      <c r="G895">
        <f>IF(D895&gt;Summary!$B$3,"Current",IF(F895&lt;=30,"0-30",IF(F895&lt;=60,"31-60",IF(F895&lt;=90,"61-90","90+"))))</f>
        <v/>
      </c>
    </row>
    <row r="896">
      <c r="A896" t="inlineStr">
        <is>
          <t>0009027706</t>
        </is>
      </c>
      <c r="B896" t="inlineStr">
        <is>
          <t>0000100587</t>
        </is>
      </c>
      <c r="C896" s="3" t="n">
        <v>45963</v>
      </c>
      <c r="D896" s="3" t="n">
        <v>46023</v>
      </c>
      <c r="E896" s="4" t="n">
        <v>719.37</v>
      </c>
      <c r="F896">
        <f>Summary!$B$3-D896</f>
        <v/>
      </c>
      <c r="G896">
        <f>IF(D896&gt;Summary!$B$3,"Current",IF(F896&lt;=30,"0-30",IF(F896&lt;=60,"31-60",IF(F896&lt;=90,"61-90","90+"))))</f>
        <v/>
      </c>
    </row>
    <row r="897">
      <c r="A897" t="inlineStr">
        <is>
          <t>0009027707</t>
        </is>
      </c>
      <c r="B897" t="inlineStr">
        <is>
          <t>0000100228</t>
        </is>
      </c>
      <c r="C897" s="3" t="n">
        <v>45964</v>
      </c>
      <c r="D897" s="3" t="n">
        <v>46024</v>
      </c>
      <c r="E897" s="4" t="n">
        <v>173.68</v>
      </c>
      <c r="F897">
        <f>Summary!$B$3-D897</f>
        <v/>
      </c>
      <c r="G897">
        <f>IF(D897&gt;Summary!$B$3,"Current",IF(F897&lt;=30,"0-30",IF(F897&lt;=60,"31-60",IF(F897&lt;=90,"61-90","90+"))))</f>
        <v/>
      </c>
    </row>
    <row r="898">
      <c r="A898" t="inlineStr">
        <is>
          <t>0009027717</t>
        </is>
      </c>
      <c r="B898" t="inlineStr">
        <is>
          <t>0000100272</t>
        </is>
      </c>
      <c r="C898" s="3" t="n">
        <v>45965</v>
      </c>
      <c r="D898" s="3" t="n">
        <v>46025</v>
      </c>
      <c r="E898" s="4" t="n">
        <v>1905.72</v>
      </c>
      <c r="F898">
        <f>Summary!$B$3-D898</f>
        <v/>
      </c>
      <c r="G898">
        <f>IF(D898&gt;Summary!$B$3,"Current",IF(F898&lt;=30,"0-30",IF(F898&lt;=60,"31-60",IF(F898&lt;=90,"61-90","90+"))))</f>
        <v/>
      </c>
    </row>
    <row r="899">
      <c r="A899" t="inlineStr">
        <is>
          <t>0009027718</t>
        </is>
      </c>
      <c r="B899" t="inlineStr">
        <is>
          <t>0000100209</t>
        </is>
      </c>
      <c r="C899" s="3" t="n">
        <v>45968</v>
      </c>
      <c r="D899" s="3" t="n">
        <v>46028</v>
      </c>
      <c r="E899" s="4" t="n">
        <v>1196.03</v>
      </c>
      <c r="F899">
        <f>Summary!$B$3-D899</f>
        <v/>
      </c>
      <c r="G899">
        <f>IF(D899&gt;Summary!$B$3,"Current",IF(F899&lt;=30,"0-30",IF(F899&lt;=60,"31-60",IF(F899&lt;=90,"61-90","90+"))))</f>
        <v/>
      </c>
    </row>
    <row r="900">
      <c r="A900" t="inlineStr">
        <is>
          <t>0009027725</t>
        </is>
      </c>
      <c r="B900" t="inlineStr">
        <is>
          <t>0000100465</t>
        </is>
      </c>
      <c r="C900" s="3" t="n">
        <v>45965</v>
      </c>
      <c r="D900" s="3" t="n">
        <v>46025</v>
      </c>
      <c r="E900" s="4" t="n">
        <v>1943.71</v>
      </c>
      <c r="F900">
        <f>Summary!$B$3-D900</f>
        <v/>
      </c>
      <c r="G900">
        <f>IF(D900&gt;Summary!$B$3,"Current",IF(F900&lt;=30,"0-30",IF(F900&lt;=60,"31-60",IF(F900&lt;=90,"61-90","90+"))))</f>
        <v/>
      </c>
    </row>
    <row r="901">
      <c r="A901" t="inlineStr">
        <is>
          <t>0009027728</t>
        </is>
      </c>
      <c r="B901" t="inlineStr">
        <is>
          <t>0000100114</t>
        </is>
      </c>
      <c r="C901" s="3" t="n">
        <v>45964</v>
      </c>
      <c r="D901" s="3" t="n">
        <v>46009</v>
      </c>
      <c r="E901" s="4" t="n">
        <v>2357.93</v>
      </c>
      <c r="F901">
        <f>Summary!$B$3-D901</f>
        <v/>
      </c>
      <c r="G901">
        <f>IF(D901&gt;Summary!$B$3,"Current",IF(F901&lt;=30,"0-30",IF(F901&lt;=60,"31-60",IF(F901&lt;=90,"61-90","90+"))))</f>
        <v/>
      </c>
    </row>
    <row r="902">
      <c r="A902" t="inlineStr">
        <is>
          <t>0009027729</t>
        </is>
      </c>
      <c r="B902" t="inlineStr">
        <is>
          <t>0000100253</t>
        </is>
      </c>
      <c r="C902" s="3" t="n">
        <v>45965</v>
      </c>
      <c r="D902" s="3" t="n">
        <v>46025</v>
      </c>
      <c r="E902" s="4" t="n">
        <v>643.41</v>
      </c>
      <c r="F902">
        <f>Summary!$B$3-D902</f>
        <v/>
      </c>
      <c r="G902">
        <f>IF(D902&gt;Summary!$B$3,"Current",IF(F902&lt;=30,"0-30",IF(F902&lt;=60,"31-60",IF(F902&lt;=90,"61-90","90+"))))</f>
        <v/>
      </c>
    </row>
    <row r="903">
      <c r="A903" t="inlineStr">
        <is>
          <t>0009027730</t>
        </is>
      </c>
      <c r="B903" t="inlineStr">
        <is>
          <t>0000100279</t>
        </is>
      </c>
      <c r="C903" s="3" t="n">
        <v>45968</v>
      </c>
      <c r="D903" s="3" t="n">
        <v>46013</v>
      </c>
      <c r="E903" s="4" t="n">
        <v>1422.76</v>
      </c>
      <c r="F903">
        <f>Summary!$B$3-D903</f>
        <v/>
      </c>
      <c r="G903">
        <f>IF(D903&gt;Summary!$B$3,"Current",IF(F903&lt;=30,"0-30",IF(F903&lt;=60,"31-60",IF(F903&lt;=90,"61-90","90+"))))</f>
        <v/>
      </c>
    </row>
    <row r="904">
      <c r="A904" t="inlineStr">
        <is>
          <t>0009027740</t>
        </is>
      </c>
      <c r="B904" t="inlineStr">
        <is>
          <t>0000100313</t>
        </is>
      </c>
      <c r="C904" s="3" t="n">
        <v>45972</v>
      </c>
      <c r="D904" s="3" t="n">
        <v>46032</v>
      </c>
      <c r="E904" s="4" t="n">
        <v>1320.83</v>
      </c>
      <c r="F904">
        <f>Summary!$B$3-D904</f>
        <v/>
      </c>
      <c r="G904">
        <f>IF(D904&gt;Summary!$B$3,"Current",IF(F904&lt;=30,"0-30",IF(F904&lt;=60,"31-60",IF(F904&lt;=90,"61-90","90+"))))</f>
        <v/>
      </c>
    </row>
    <row r="905">
      <c r="A905" t="inlineStr">
        <is>
          <t>0009027741</t>
        </is>
      </c>
      <c r="B905" t="inlineStr">
        <is>
          <t>0000100116</t>
        </is>
      </c>
      <c r="C905" s="3" t="n">
        <v>45967</v>
      </c>
      <c r="D905" s="3" t="n">
        <v>46012</v>
      </c>
      <c r="E905" s="4" t="n">
        <v>970.53</v>
      </c>
      <c r="F905">
        <f>Summary!$B$3-D905</f>
        <v/>
      </c>
      <c r="G905">
        <f>IF(D905&gt;Summary!$B$3,"Current",IF(F905&lt;=30,"0-30",IF(F905&lt;=60,"31-60",IF(F905&lt;=90,"61-90","90+"))))</f>
        <v/>
      </c>
    </row>
    <row r="906">
      <c r="A906" t="inlineStr">
        <is>
          <t>0009027742</t>
        </is>
      </c>
      <c r="B906" t="inlineStr">
        <is>
          <t>0000100058</t>
        </is>
      </c>
      <c r="C906" s="3" t="n">
        <v>45968</v>
      </c>
      <c r="D906" s="3" t="n">
        <v>46013</v>
      </c>
      <c r="E906" s="4" t="n">
        <v>222.9</v>
      </c>
      <c r="F906">
        <f>Summary!$B$3-D906</f>
        <v/>
      </c>
      <c r="G906">
        <f>IF(D906&gt;Summary!$B$3,"Current",IF(F906&lt;=30,"0-30",IF(F906&lt;=60,"31-60",IF(F906&lt;=90,"61-90","90+"))))</f>
        <v/>
      </c>
    </row>
    <row r="907">
      <c r="A907" t="inlineStr">
        <is>
          <t>0009027744</t>
        </is>
      </c>
      <c r="B907" t="inlineStr">
        <is>
          <t>0000100164</t>
        </is>
      </c>
      <c r="C907" s="3" t="n">
        <v>45967</v>
      </c>
      <c r="D907" s="3" t="n">
        <v>46027</v>
      </c>
      <c r="E907" s="4" t="n">
        <v>785.74</v>
      </c>
      <c r="F907">
        <f>Summary!$B$3-D907</f>
        <v/>
      </c>
      <c r="G907">
        <f>IF(D907&gt;Summary!$B$3,"Current",IF(F907&lt;=30,"0-30",IF(F907&lt;=60,"31-60",IF(F907&lt;=90,"61-90","90+"))))</f>
        <v/>
      </c>
    </row>
    <row r="908">
      <c r="A908" t="inlineStr">
        <is>
          <t>0009027746</t>
        </is>
      </c>
      <c r="B908" t="inlineStr">
        <is>
          <t>0000100249</t>
        </is>
      </c>
      <c r="C908" s="3" t="n">
        <v>45963</v>
      </c>
      <c r="D908" s="3" t="n">
        <v>46023</v>
      </c>
      <c r="E908" s="4" t="n">
        <v>1431.29</v>
      </c>
      <c r="F908">
        <f>Summary!$B$3-D908</f>
        <v/>
      </c>
      <c r="G908">
        <f>IF(D908&gt;Summary!$B$3,"Current",IF(F908&lt;=30,"0-30",IF(F908&lt;=60,"31-60",IF(F908&lt;=90,"61-90","90+"))))</f>
        <v/>
      </c>
    </row>
    <row r="909">
      <c r="A909" t="inlineStr">
        <is>
          <t>0009027750</t>
        </is>
      </c>
      <c r="B909" t="inlineStr">
        <is>
          <t>0000100202</t>
        </is>
      </c>
      <c r="C909" s="3" t="n">
        <v>45971</v>
      </c>
      <c r="D909" s="3" t="n">
        <v>46031</v>
      </c>
      <c r="E909" s="4" t="n">
        <v>2783.51</v>
      </c>
      <c r="F909">
        <f>Summary!$B$3-D909</f>
        <v/>
      </c>
      <c r="G909">
        <f>IF(D909&gt;Summary!$B$3,"Current",IF(F909&lt;=30,"0-30",IF(F909&lt;=60,"31-60",IF(F909&lt;=90,"61-90","90+"))))</f>
        <v/>
      </c>
    </row>
    <row r="910">
      <c r="A910" t="inlineStr">
        <is>
          <t>0009027751</t>
        </is>
      </c>
      <c r="B910" t="inlineStr">
        <is>
          <t>0000100364</t>
        </is>
      </c>
      <c r="C910" s="3" t="n">
        <v>45966</v>
      </c>
      <c r="D910" s="3" t="n">
        <v>46026</v>
      </c>
      <c r="E910" s="4" t="n">
        <v>1742.11</v>
      </c>
      <c r="F910">
        <f>Summary!$B$3-D910</f>
        <v/>
      </c>
      <c r="G910">
        <f>IF(D910&gt;Summary!$B$3,"Current",IF(F910&lt;=30,"0-30",IF(F910&lt;=60,"31-60",IF(F910&lt;=90,"61-90","90+"))))</f>
        <v/>
      </c>
    </row>
    <row r="911">
      <c r="A911" t="inlineStr">
        <is>
          <t>0009027753</t>
        </is>
      </c>
      <c r="B911" t="inlineStr">
        <is>
          <t>0000100543</t>
        </is>
      </c>
      <c r="C911" s="3" t="n">
        <v>45969</v>
      </c>
      <c r="D911" s="3" t="n">
        <v>46029</v>
      </c>
      <c r="E911" s="4" t="n">
        <v>785.05</v>
      </c>
      <c r="F911">
        <f>Summary!$B$3-D911</f>
        <v/>
      </c>
      <c r="G911">
        <f>IF(D911&gt;Summary!$B$3,"Current",IF(F911&lt;=30,"0-30",IF(F911&lt;=60,"31-60",IF(F911&lt;=90,"61-90","90+"))))</f>
        <v/>
      </c>
    </row>
    <row r="912">
      <c r="A912" t="inlineStr">
        <is>
          <t>0009027754</t>
        </is>
      </c>
      <c r="B912" t="inlineStr">
        <is>
          <t>0000100355</t>
        </is>
      </c>
      <c r="C912" s="3" t="n">
        <v>45967</v>
      </c>
      <c r="D912" s="3" t="n">
        <v>46027</v>
      </c>
      <c r="E912" s="4" t="n">
        <v>2854.36</v>
      </c>
      <c r="F912">
        <f>Summary!$B$3-D912</f>
        <v/>
      </c>
      <c r="G912">
        <f>IF(D912&gt;Summary!$B$3,"Current",IF(F912&lt;=30,"0-30",IF(F912&lt;=60,"31-60",IF(F912&lt;=90,"61-90","90+"))))</f>
        <v/>
      </c>
    </row>
    <row r="913">
      <c r="A913" t="inlineStr">
        <is>
          <t>0009027755</t>
        </is>
      </c>
      <c r="B913" t="inlineStr">
        <is>
          <t>0000100051</t>
        </is>
      </c>
      <c r="C913" s="3" t="n">
        <v>45970</v>
      </c>
      <c r="D913" s="3" t="n">
        <v>46030</v>
      </c>
      <c r="E913" s="4" t="n">
        <v>1670.99</v>
      </c>
      <c r="F913">
        <f>Summary!$B$3-D913</f>
        <v/>
      </c>
      <c r="G913">
        <f>IF(D913&gt;Summary!$B$3,"Current",IF(F913&lt;=30,"0-30",IF(F913&lt;=60,"31-60",IF(F913&lt;=90,"61-90","90+"))))</f>
        <v/>
      </c>
    </row>
    <row r="914">
      <c r="A914" t="inlineStr">
        <is>
          <t>0009027758</t>
        </is>
      </c>
      <c r="B914" t="inlineStr">
        <is>
          <t>0000100571</t>
        </is>
      </c>
      <c r="C914" s="3" t="n">
        <v>45965</v>
      </c>
      <c r="D914" s="3" t="n">
        <v>46010</v>
      </c>
      <c r="E914" s="4" t="n">
        <v>898.25</v>
      </c>
      <c r="F914">
        <f>Summary!$B$3-D914</f>
        <v/>
      </c>
      <c r="G914">
        <f>IF(D914&gt;Summary!$B$3,"Current",IF(F914&lt;=30,"0-30",IF(F914&lt;=60,"31-60",IF(F914&lt;=90,"61-90","90+"))))</f>
        <v/>
      </c>
    </row>
    <row r="915">
      <c r="A915" t="inlineStr">
        <is>
          <t>0009027760</t>
        </is>
      </c>
      <c r="B915" t="inlineStr">
        <is>
          <t>0000100279</t>
        </is>
      </c>
      <c r="C915" s="3" t="n">
        <v>45969</v>
      </c>
      <c r="D915" s="3" t="n">
        <v>46014</v>
      </c>
      <c r="E915" s="4" t="n">
        <v>849.45</v>
      </c>
      <c r="F915">
        <f>Summary!$B$3-D915</f>
        <v/>
      </c>
      <c r="G915">
        <f>IF(D915&gt;Summary!$B$3,"Current",IF(F915&lt;=30,"0-30",IF(F915&lt;=60,"31-60",IF(F915&lt;=90,"61-90","90+"))))</f>
        <v/>
      </c>
    </row>
    <row r="916">
      <c r="A916" t="inlineStr">
        <is>
          <t>0009027764</t>
        </is>
      </c>
      <c r="B916" t="inlineStr">
        <is>
          <t>0000100058</t>
        </is>
      </c>
      <c r="C916" s="3" t="n">
        <v>45970</v>
      </c>
      <c r="D916" s="3" t="n">
        <v>46015</v>
      </c>
      <c r="E916" s="4" t="n">
        <v>1068.48</v>
      </c>
      <c r="F916">
        <f>Summary!$B$3-D916</f>
        <v/>
      </c>
      <c r="G916">
        <f>IF(D916&gt;Summary!$B$3,"Current",IF(F916&lt;=30,"0-30",IF(F916&lt;=60,"31-60",IF(F916&lt;=90,"61-90","90+"))))</f>
        <v/>
      </c>
    </row>
    <row r="917">
      <c r="A917" t="inlineStr">
        <is>
          <t>0009027768</t>
        </is>
      </c>
      <c r="B917" t="inlineStr">
        <is>
          <t>0000100237</t>
        </is>
      </c>
      <c r="C917" s="3" t="n">
        <v>45973</v>
      </c>
      <c r="D917" s="3" t="n">
        <v>46033</v>
      </c>
      <c r="E917" s="4" t="n">
        <v>3373.49</v>
      </c>
      <c r="F917">
        <f>Summary!$B$3-D917</f>
        <v/>
      </c>
      <c r="G917">
        <f>IF(D917&gt;Summary!$B$3,"Current",IF(F917&lt;=30,"0-30",IF(F917&lt;=60,"31-60",IF(F917&lt;=90,"61-90","90+"))))</f>
        <v/>
      </c>
    </row>
    <row r="918">
      <c r="A918" t="inlineStr">
        <is>
          <t>0009027769</t>
        </is>
      </c>
      <c r="B918" t="inlineStr">
        <is>
          <t>0000100513</t>
        </is>
      </c>
      <c r="C918" s="3" t="n">
        <v>45966</v>
      </c>
      <c r="D918" s="3" t="n">
        <v>46026</v>
      </c>
      <c r="E918" s="4" t="n">
        <v>1137.48</v>
      </c>
      <c r="F918">
        <f>Summary!$B$3-D918</f>
        <v/>
      </c>
      <c r="G918">
        <f>IF(D918&gt;Summary!$B$3,"Current",IF(F918&lt;=30,"0-30",IF(F918&lt;=60,"31-60",IF(F918&lt;=90,"61-90","90+"))))</f>
        <v/>
      </c>
    </row>
    <row r="919">
      <c r="A919" t="inlineStr">
        <is>
          <t>0009027777</t>
        </is>
      </c>
      <c r="B919" t="inlineStr">
        <is>
          <t>0000100262</t>
        </is>
      </c>
      <c r="C919" s="3" t="n">
        <v>45968</v>
      </c>
      <c r="D919" s="3" t="n">
        <v>46013</v>
      </c>
      <c r="E919" s="4" t="n">
        <v>611.33</v>
      </c>
      <c r="F919">
        <f>Summary!$B$3-D919</f>
        <v/>
      </c>
      <c r="G919">
        <f>IF(D919&gt;Summary!$B$3,"Current",IF(F919&lt;=30,"0-30",IF(F919&lt;=60,"31-60",IF(F919&lt;=90,"61-90","90+"))))</f>
        <v/>
      </c>
    </row>
    <row r="920">
      <c r="A920" t="inlineStr">
        <is>
          <t>0009027780</t>
        </is>
      </c>
      <c r="B920" t="inlineStr">
        <is>
          <t>0000100169</t>
        </is>
      </c>
      <c r="C920" s="3" t="n">
        <v>45966</v>
      </c>
      <c r="D920" s="3" t="n">
        <v>46011</v>
      </c>
      <c r="E920" s="4" t="n">
        <v>3463.13</v>
      </c>
      <c r="F920">
        <f>Summary!$B$3-D920</f>
        <v/>
      </c>
      <c r="G920">
        <f>IF(D920&gt;Summary!$B$3,"Current",IF(F920&lt;=30,"0-30",IF(F920&lt;=60,"31-60",IF(F920&lt;=90,"61-90","90+"))))</f>
        <v/>
      </c>
    </row>
    <row r="921">
      <c r="A921" t="inlineStr">
        <is>
          <t>0009027786</t>
        </is>
      </c>
      <c r="B921" t="inlineStr">
        <is>
          <t>0000100074</t>
        </is>
      </c>
      <c r="C921" s="3" t="n">
        <v>45972</v>
      </c>
      <c r="D921" s="3" t="n">
        <v>46017</v>
      </c>
      <c r="E921" s="4" t="n">
        <v>40573.1</v>
      </c>
      <c r="F921">
        <f>Summary!$B$3-D921</f>
        <v/>
      </c>
      <c r="G921">
        <f>IF(D921&gt;Summary!$B$3,"Current",IF(F921&lt;=30,"0-30",IF(F921&lt;=60,"31-60",IF(F921&lt;=90,"61-90","90+"))))</f>
        <v/>
      </c>
    </row>
    <row r="922">
      <c r="A922" t="inlineStr">
        <is>
          <t>0009027791</t>
        </is>
      </c>
      <c r="B922" t="inlineStr">
        <is>
          <t>0000100321</t>
        </is>
      </c>
      <c r="C922" s="3" t="n">
        <v>45970</v>
      </c>
      <c r="D922" s="3" t="n">
        <v>46030</v>
      </c>
      <c r="E922" s="4" t="n">
        <v>1119.37</v>
      </c>
      <c r="F922">
        <f>Summary!$B$3-D922</f>
        <v/>
      </c>
      <c r="G922">
        <f>IF(D922&gt;Summary!$B$3,"Current",IF(F922&lt;=30,"0-30",IF(F922&lt;=60,"31-60",IF(F922&lt;=90,"61-90","90+"))))</f>
        <v/>
      </c>
    </row>
    <row r="923">
      <c r="A923" t="inlineStr">
        <is>
          <t>0009027793</t>
        </is>
      </c>
      <c r="B923" t="inlineStr">
        <is>
          <t>0000100087</t>
        </is>
      </c>
      <c r="C923" s="3" t="n">
        <v>45966</v>
      </c>
      <c r="D923" s="3" t="n">
        <v>46026</v>
      </c>
      <c r="E923" s="4" t="n">
        <v>129.05</v>
      </c>
      <c r="F923">
        <f>Summary!$B$3-D923</f>
        <v/>
      </c>
      <c r="G923">
        <f>IF(D923&gt;Summary!$B$3,"Current",IF(F923&lt;=30,"0-30",IF(F923&lt;=60,"31-60",IF(F923&lt;=90,"61-90","90+"))))</f>
        <v/>
      </c>
    </row>
    <row r="924">
      <c r="A924" t="inlineStr">
        <is>
          <t>0009027794</t>
        </is>
      </c>
      <c r="B924" t="inlineStr">
        <is>
          <t>0000100508</t>
        </is>
      </c>
      <c r="C924" s="3" t="n">
        <v>45971</v>
      </c>
      <c r="D924" s="3" t="n">
        <v>46031</v>
      </c>
      <c r="E924" s="4" t="n">
        <v>287.3</v>
      </c>
      <c r="F924">
        <f>Summary!$B$3-D924</f>
        <v/>
      </c>
      <c r="G924">
        <f>IF(D924&gt;Summary!$B$3,"Current",IF(F924&lt;=30,"0-30",IF(F924&lt;=60,"31-60",IF(F924&lt;=90,"61-90","90+"))))</f>
        <v/>
      </c>
    </row>
    <row r="925">
      <c r="A925" t="inlineStr">
        <is>
          <t>0009027797</t>
        </is>
      </c>
      <c r="B925" t="inlineStr">
        <is>
          <t>0000100346</t>
        </is>
      </c>
      <c r="C925" s="3" t="n">
        <v>45969</v>
      </c>
      <c r="D925" s="3" t="n">
        <v>46014</v>
      </c>
      <c r="E925" s="4" t="n">
        <v>654.78</v>
      </c>
      <c r="F925">
        <f>Summary!$B$3-D925</f>
        <v/>
      </c>
      <c r="G925">
        <f>IF(D925&gt;Summary!$B$3,"Current",IF(F925&lt;=30,"0-30",IF(F925&lt;=60,"31-60",IF(F925&lt;=90,"61-90","90+"))))</f>
        <v/>
      </c>
    </row>
    <row r="926">
      <c r="A926" t="inlineStr">
        <is>
          <t>0009027800</t>
        </is>
      </c>
      <c r="B926" t="inlineStr">
        <is>
          <t>0000100285</t>
        </is>
      </c>
      <c r="C926" s="3" t="n">
        <v>45966</v>
      </c>
      <c r="D926" s="3" t="n">
        <v>45996</v>
      </c>
      <c r="E926" s="4" t="n">
        <v>2073.15</v>
      </c>
      <c r="F926">
        <f>Summary!$B$3-D926</f>
        <v/>
      </c>
      <c r="G926">
        <f>IF(D926&gt;Summary!$B$3,"Current",IF(F926&lt;=30,"0-30",IF(F926&lt;=60,"31-60",IF(F926&lt;=90,"61-90","90+"))))</f>
        <v/>
      </c>
    </row>
    <row r="927">
      <c r="A927" t="inlineStr">
        <is>
          <t>0009027803</t>
        </is>
      </c>
      <c r="B927" t="inlineStr">
        <is>
          <t>0000100348</t>
        </is>
      </c>
      <c r="C927" s="3" t="n">
        <v>45968</v>
      </c>
      <c r="D927" s="3" t="n">
        <v>46028</v>
      </c>
      <c r="E927" s="4" t="n">
        <v>2691.32</v>
      </c>
      <c r="F927">
        <f>Summary!$B$3-D927</f>
        <v/>
      </c>
      <c r="G927">
        <f>IF(D927&gt;Summary!$B$3,"Current",IF(F927&lt;=30,"0-30",IF(F927&lt;=60,"31-60",IF(F927&lt;=90,"61-90","90+"))))</f>
        <v/>
      </c>
    </row>
    <row r="928">
      <c r="A928" t="inlineStr">
        <is>
          <t>0009027804</t>
        </is>
      </c>
      <c r="B928" t="inlineStr">
        <is>
          <t>0000100228</t>
        </is>
      </c>
      <c r="C928" s="3" t="n">
        <v>45972</v>
      </c>
      <c r="D928" s="3" t="n">
        <v>46032</v>
      </c>
      <c r="E928" s="4" t="n">
        <v>114.54</v>
      </c>
      <c r="F928">
        <f>Summary!$B$3-D928</f>
        <v/>
      </c>
      <c r="G928">
        <f>IF(D928&gt;Summary!$B$3,"Current",IF(F928&lt;=30,"0-30",IF(F928&lt;=60,"31-60",IF(F928&lt;=90,"61-90","90+"))))</f>
        <v/>
      </c>
    </row>
    <row r="929">
      <c r="A929" t="inlineStr">
        <is>
          <t>0009027806</t>
        </is>
      </c>
      <c r="B929" t="inlineStr">
        <is>
          <t>0000100543</t>
        </is>
      </c>
      <c r="C929" s="3" t="n">
        <v>45966</v>
      </c>
      <c r="D929" s="3" t="n">
        <v>46026</v>
      </c>
      <c r="E929" s="4" t="n">
        <v>1713.07</v>
      </c>
      <c r="F929">
        <f>Summary!$B$3-D929</f>
        <v/>
      </c>
      <c r="G929">
        <f>IF(D929&gt;Summary!$B$3,"Current",IF(F929&lt;=30,"0-30",IF(F929&lt;=60,"31-60",IF(F929&lt;=90,"61-90","90+"))))</f>
        <v/>
      </c>
    </row>
    <row r="930">
      <c r="A930" t="inlineStr">
        <is>
          <t>0009027808</t>
        </is>
      </c>
      <c r="B930" t="inlineStr">
        <is>
          <t>0000100514</t>
        </is>
      </c>
      <c r="C930" s="3" t="n">
        <v>45966</v>
      </c>
      <c r="D930" s="3" t="n">
        <v>46026</v>
      </c>
      <c r="E930" s="4" t="n">
        <v>1692.68</v>
      </c>
      <c r="F930">
        <f>Summary!$B$3-D930</f>
        <v/>
      </c>
      <c r="G930">
        <f>IF(D930&gt;Summary!$B$3,"Current",IF(F930&lt;=30,"0-30",IF(F930&lt;=60,"31-60",IF(F930&lt;=90,"61-90","90+"))))</f>
        <v/>
      </c>
    </row>
    <row r="931">
      <c r="A931" t="inlineStr">
        <is>
          <t>0009027810</t>
        </is>
      </c>
      <c r="B931" t="inlineStr">
        <is>
          <t>0000100013</t>
        </is>
      </c>
      <c r="C931" s="3" t="n">
        <v>45967</v>
      </c>
      <c r="D931" s="3" t="n">
        <v>46027</v>
      </c>
      <c r="E931" s="4" t="n">
        <v>570.47</v>
      </c>
      <c r="F931">
        <f>Summary!$B$3-D931</f>
        <v/>
      </c>
      <c r="G931">
        <f>IF(D931&gt;Summary!$B$3,"Current",IF(F931&lt;=30,"0-30",IF(F931&lt;=60,"31-60",IF(F931&lt;=90,"61-90","90+"))))</f>
        <v/>
      </c>
    </row>
    <row r="932">
      <c r="A932" t="inlineStr">
        <is>
          <t>0009027811</t>
        </is>
      </c>
      <c r="B932" t="inlineStr">
        <is>
          <t>0000100348</t>
        </is>
      </c>
      <c r="C932" s="3" t="n">
        <v>45970</v>
      </c>
      <c r="D932" s="3" t="n">
        <v>46030</v>
      </c>
      <c r="E932" s="4" t="n">
        <v>205.24</v>
      </c>
      <c r="F932">
        <f>Summary!$B$3-D932</f>
        <v/>
      </c>
      <c r="G932">
        <f>IF(D932&gt;Summary!$B$3,"Current",IF(F932&lt;=30,"0-30",IF(F932&lt;=60,"31-60",IF(F932&lt;=90,"61-90","90+"))))</f>
        <v/>
      </c>
    </row>
    <row r="933">
      <c r="A933" t="inlineStr">
        <is>
          <t>0009027812</t>
        </is>
      </c>
      <c r="B933" t="inlineStr">
        <is>
          <t>0000100052</t>
        </is>
      </c>
      <c r="C933" s="3" t="n">
        <v>45968</v>
      </c>
      <c r="D933" s="3" t="n">
        <v>46013</v>
      </c>
      <c r="E933" s="4" t="n">
        <v>970.6</v>
      </c>
      <c r="F933">
        <f>Summary!$B$3-D933</f>
        <v/>
      </c>
      <c r="G933">
        <f>IF(D933&gt;Summary!$B$3,"Current",IF(F933&lt;=30,"0-30",IF(F933&lt;=60,"31-60",IF(F933&lt;=90,"61-90","90+"))))</f>
        <v/>
      </c>
    </row>
    <row r="934">
      <c r="A934" t="inlineStr">
        <is>
          <t>0009027815</t>
        </is>
      </c>
      <c r="B934" t="inlineStr">
        <is>
          <t>0000100249</t>
        </is>
      </c>
      <c r="C934" s="3" t="n">
        <v>45962</v>
      </c>
      <c r="D934" s="3" t="n">
        <v>46022</v>
      </c>
      <c r="E934" s="4" t="n">
        <v>10068.84</v>
      </c>
      <c r="F934">
        <f>Summary!$B$3-D934</f>
        <v/>
      </c>
      <c r="G934">
        <f>IF(D934&gt;Summary!$B$3,"Current",IF(F934&lt;=30,"0-30",IF(F934&lt;=60,"31-60",IF(F934&lt;=90,"61-90","90+"))))</f>
        <v/>
      </c>
    </row>
    <row r="935">
      <c r="A935" t="inlineStr">
        <is>
          <t>0009027818</t>
        </is>
      </c>
      <c r="B935" t="inlineStr">
        <is>
          <t>0000100587</t>
        </is>
      </c>
      <c r="C935" s="3" t="n">
        <v>45968</v>
      </c>
      <c r="D935" s="3" t="n">
        <v>46028</v>
      </c>
      <c r="E935" s="4" t="n">
        <v>767.23</v>
      </c>
      <c r="F935">
        <f>Summary!$B$3-D935</f>
        <v/>
      </c>
      <c r="G935">
        <f>IF(D935&gt;Summary!$B$3,"Current",IF(F935&lt;=30,"0-30",IF(F935&lt;=60,"31-60",IF(F935&lt;=90,"61-90","90+"))))</f>
        <v/>
      </c>
    </row>
    <row r="936">
      <c r="A936" t="inlineStr">
        <is>
          <t>0009027821</t>
        </is>
      </c>
      <c r="B936" t="inlineStr">
        <is>
          <t>0000100312</t>
        </is>
      </c>
      <c r="C936" s="3" t="n">
        <v>45966</v>
      </c>
      <c r="D936" s="3" t="n">
        <v>46026</v>
      </c>
      <c r="E936" s="4" t="n">
        <v>61.92</v>
      </c>
      <c r="F936">
        <f>Summary!$B$3-D936</f>
        <v/>
      </c>
      <c r="G936">
        <f>IF(D936&gt;Summary!$B$3,"Current",IF(F936&lt;=30,"0-30",IF(F936&lt;=60,"31-60",IF(F936&lt;=90,"61-90","90+"))))</f>
        <v/>
      </c>
    </row>
    <row r="937">
      <c r="A937" t="inlineStr">
        <is>
          <t>0009027824</t>
        </is>
      </c>
      <c r="B937" t="inlineStr">
        <is>
          <t>0000100164</t>
        </is>
      </c>
      <c r="C937" s="3" t="n">
        <v>45966</v>
      </c>
      <c r="D937" s="3" t="n">
        <v>46026</v>
      </c>
      <c r="E937" s="4" t="n">
        <v>348.69</v>
      </c>
      <c r="F937">
        <f>Summary!$B$3-D937</f>
        <v/>
      </c>
      <c r="G937">
        <f>IF(D937&gt;Summary!$B$3,"Current",IF(F937&lt;=30,"0-30",IF(F937&lt;=60,"31-60",IF(F937&lt;=90,"61-90","90+"))))</f>
        <v/>
      </c>
    </row>
    <row r="938">
      <c r="A938" t="inlineStr">
        <is>
          <t>0009027825</t>
        </is>
      </c>
      <c r="B938" t="inlineStr">
        <is>
          <t>0000100203</t>
        </is>
      </c>
      <c r="C938" s="3" t="n">
        <v>45965</v>
      </c>
      <c r="D938" s="3" t="n">
        <v>46010</v>
      </c>
      <c r="E938" s="4" t="n">
        <v>223.44</v>
      </c>
      <c r="F938">
        <f>Summary!$B$3-D938</f>
        <v/>
      </c>
      <c r="G938">
        <f>IF(D938&gt;Summary!$B$3,"Current",IF(F938&lt;=30,"0-30",IF(F938&lt;=60,"31-60",IF(F938&lt;=90,"61-90","90+"))))</f>
        <v/>
      </c>
    </row>
    <row r="939">
      <c r="A939" t="inlineStr">
        <is>
          <t>0009027828</t>
        </is>
      </c>
      <c r="B939" t="inlineStr">
        <is>
          <t>0000100458</t>
        </is>
      </c>
      <c r="C939" s="3" t="n">
        <v>45969</v>
      </c>
      <c r="D939" s="3" t="n">
        <v>46014</v>
      </c>
      <c r="E939" s="4" t="n">
        <v>3354.22</v>
      </c>
      <c r="F939">
        <f>Summary!$B$3-D939</f>
        <v/>
      </c>
      <c r="G939">
        <f>IF(D939&gt;Summary!$B$3,"Current",IF(F939&lt;=30,"0-30",IF(F939&lt;=60,"31-60",IF(F939&lt;=90,"61-90","90+"))))</f>
        <v/>
      </c>
    </row>
    <row r="940">
      <c r="A940" t="inlineStr">
        <is>
          <t>0009027831</t>
        </is>
      </c>
      <c r="B940" t="inlineStr">
        <is>
          <t>0000100004</t>
        </is>
      </c>
      <c r="C940" s="3" t="n">
        <v>45966</v>
      </c>
      <c r="D940" s="3" t="n">
        <v>46026</v>
      </c>
      <c r="E940" s="4" t="n">
        <v>2436.69</v>
      </c>
      <c r="F940">
        <f>Summary!$B$3-D940</f>
        <v/>
      </c>
      <c r="G940">
        <f>IF(D940&gt;Summary!$B$3,"Current",IF(F940&lt;=30,"0-30",IF(F940&lt;=60,"31-60",IF(F940&lt;=90,"61-90","90+"))))</f>
        <v/>
      </c>
    </row>
    <row r="941">
      <c r="A941" t="inlineStr">
        <is>
          <t>0009027836</t>
        </is>
      </c>
      <c r="B941" t="inlineStr">
        <is>
          <t>0000100010</t>
        </is>
      </c>
      <c r="C941" s="3" t="n">
        <v>45971</v>
      </c>
      <c r="D941" s="3" t="n">
        <v>46016</v>
      </c>
      <c r="E941" s="4" t="n">
        <v>285.6</v>
      </c>
      <c r="F941">
        <f>Summary!$B$3-D941</f>
        <v/>
      </c>
      <c r="G941">
        <f>IF(D941&gt;Summary!$B$3,"Current",IF(F941&lt;=30,"0-30",IF(F941&lt;=60,"31-60",IF(F941&lt;=90,"61-90","90+"))))</f>
        <v/>
      </c>
    </row>
    <row r="942">
      <c r="A942" t="inlineStr">
        <is>
          <t>0009027837</t>
        </is>
      </c>
      <c r="B942" t="inlineStr">
        <is>
          <t>0000100089</t>
        </is>
      </c>
      <c r="C942" s="3" t="n">
        <v>45970</v>
      </c>
      <c r="D942" s="3" t="n">
        <v>46015</v>
      </c>
      <c r="E942" s="4" t="n">
        <v>1077.47</v>
      </c>
      <c r="F942">
        <f>Summary!$B$3-D942</f>
        <v/>
      </c>
      <c r="G942">
        <f>IF(D942&gt;Summary!$B$3,"Current",IF(F942&lt;=30,"0-30",IF(F942&lt;=60,"31-60",IF(F942&lt;=90,"61-90","90+"))))</f>
        <v/>
      </c>
    </row>
    <row r="943">
      <c r="A943" t="inlineStr">
        <is>
          <t>0009027841</t>
        </is>
      </c>
      <c r="B943" t="inlineStr">
        <is>
          <t>0000100338</t>
        </is>
      </c>
      <c r="C943" s="3" t="n">
        <v>45971</v>
      </c>
      <c r="D943" s="3" t="n">
        <v>46031</v>
      </c>
      <c r="E943" s="4" t="n">
        <v>1228.84</v>
      </c>
      <c r="F943">
        <f>Summary!$B$3-D943</f>
        <v/>
      </c>
      <c r="G943">
        <f>IF(D943&gt;Summary!$B$3,"Current",IF(F943&lt;=30,"0-30",IF(F943&lt;=60,"31-60",IF(F943&lt;=90,"61-90","90+"))))</f>
        <v/>
      </c>
    </row>
    <row r="944">
      <c r="A944" t="inlineStr">
        <is>
          <t>0009027845</t>
        </is>
      </c>
      <c r="B944" t="inlineStr">
        <is>
          <t>0000100356</t>
        </is>
      </c>
      <c r="C944" s="3" t="n">
        <v>45968</v>
      </c>
      <c r="D944" s="3" t="n">
        <v>46013</v>
      </c>
      <c r="E944" s="4" t="n">
        <v>2526.24</v>
      </c>
      <c r="F944">
        <f>Summary!$B$3-D944</f>
        <v/>
      </c>
      <c r="G944">
        <f>IF(D944&gt;Summary!$B$3,"Current",IF(F944&lt;=30,"0-30",IF(F944&lt;=60,"31-60",IF(F944&lt;=90,"61-90","90+"))))</f>
        <v/>
      </c>
    </row>
    <row r="945">
      <c r="A945" t="inlineStr">
        <is>
          <t>0009027852</t>
        </is>
      </c>
      <c r="B945" t="inlineStr">
        <is>
          <t>0000100474</t>
        </is>
      </c>
      <c r="C945" s="3" t="n">
        <v>45969</v>
      </c>
      <c r="D945" s="3" t="n">
        <v>46029</v>
      </c>
      <c r="E945" s="4" t="n">
        <v>1171.26</v>
      </c>
      <c r="F945">
        <f>Summary!$B$3-D945</f>
        <v/>
      </c>
      <c r="G945">
        <f>IF(D945&gt;Summary!$B$3,"Current",IF(F945&lt;=30,"0-30",IF(F945&lt;=60,"31-60",IF(F945&lt;=90,"61-90","90+"))))</f>
        <v/>
      </c>
    </row>
    <row r="946">
      <c r="A946" t="inlineStr">
        <is>
          <t>0009027857</t>
        </is>
      </c>
      <c r="B946" t="inlineStr">
        <is>
          <t>0000100481</t>
        </is>
      </c>
      <c r="C946" s="3" t="n">
        <v>45966</v>
      </c>
      <c r="D946" s="3" t="n">
        <v>46026</v>
      </c>
      <c r="E946" s="4" t="n">
        <v>730.24</v>
      </c>
      <c r="F946">
        <f>Summary!$B$3-D946</f>
        <v/>
      </c>
      <c r="G946">
        <f>IF(D946&gt;Summary!$B$3,"Current",IF(F946&lt;=30,"0-30",IF(F946&lt;=60,"31-60",IF(F946&lt;=90,"61-90","90+"))))</f>
        <v/>
      </c>
    </row>
    <row r="947">
      <c r="A947" t="inlineStr">
        <is>
          <t>0009027859</t>
        </is>
      </c>
      <c r="B947" t="inlineStr">
        <is>
          <t>0000100338</t>
        </is>
      </c>
      <c r="C947" s="3" t="n">
        <v>45965</v>
      </c>
      <c r="D947" s="3" t="n">
        <v>46025</v>
      </c>
      <c r="E947" s="4" t="n">
        <v>1417.99</v>
      </c>
      <c r="F947">
        <f>Summary!$B$3-D947</f>
        <v/>
      </c>
      <c r="G947">
        <f>IF(D947&gt;Summary!$B$3,"Current",IF(F947&lt;=30,"0-30",IF(F947&lt;=60,"31-60",IF(F947&lt;=90,"61-90","90+"))))</f>
        <v/>
      </c>
    </row>
    <row r="948">
      <c r="A948" t="inlineStr">
        <is>
          <t>0009027867</t>
        </is>
      </c>
      <c r="B948" t="inlineStr">
        <is>
          <t>0000100394</t>
        </is>
      </c>
      <c r="C948" s="3" t="n">
        <v>45970</v>
      </c>
      <c r="D948" s="3" t="n">
        <v>46030</v>
      </c>
      <c r="E948" s="4" t="n">
        <v>577.36</v>
      </c>
      <c r="F948">
        <f>Summary!$B$3-D948</f>
        <v/>
      </c>
      <c r="G948">
        <f>IF(D948&gt;Summary!$B$3,"Current",IF(F948&lt;=30,"0-30",IF(F948&lt;=60,"31-60",IF(F948&lt;=90,"61-90","90+"))))</f>
        <v/>
      </c>
    </row>
    <row r="949">
      <c r="A949" t="inlineStr">
        <is>
          <t>0009027874</t>
        </is>
      </c>
      <c r="B949" t="inlineStr">
        <is>
          <t>0000100360</t>
        </is>
      </c>
      <c r="C949" s="3" t="n">
        <v>45970</v>
      </c>
      <c r="D949" s="3" t="n">
        <v>46015</v>
      </c>
      <c r="E949" s="4" t="n">
        <v>145.62</v>
      </c>
      <c r="F949">
        <f>Summary!$B$3-D949</f>
        <v/>
      </c>
      <c r="G949">
        <f>IF(D949&gt;Summary!$B$3,"Current",IF(F949&lt;=30,"0-30",IF(F949&lt;=60,"31-60",IF(F949&lt;=90,"61-90","90+"))))</f>
        <v/>
      </c>
    </row>
    <row r="950">
      <c r="A950" t="inlineStr">
        <is>
          <t>0009027879</t>
        </is>
      </c>
      <c r="B950" t="inlineStr">
        <is>
          <t>0000100192</t>
        </is>
      </c>
      <c r="C950" s="3" t="n">
        <v>45968</v>
      </c>
      <c r="D950" s="3" t="n">
        <v>45998</v>
      </c>
      <c r="E950" s="4" t="n">
        <v>399.74</v>
      </c>
      <c r="F950">
        <f>Summary!$B$3-D950</f>
        <v/>
      </c>
      <c r="G950">
        <f>IF(D950&gt;Summary!$B$3,"Current",IF(F950&lt;=30,"0-30",IF(F950&lt;=60,"31-60",IF(F950&lt;=90,"61-90","90+"))))</f>
        <v/>
      </c>
    </row>
    <row r="951">
      <c r="A951" t="inlineStr">
        <is>
          <t>0009027880</t>
        </is>
      </c>
      <c r="B951" t="inlineStr">
        <is>
          <t>0000100364</t>
        </is>
      </c>
      <c r="C951" s="3" t="n">
        <v>45976</v>
      </c>
      <c r="D951" s="3" t="n">
        <v>46036</v>
      </c>
      <c r="E951" s="4" t="n">
        <v>2878.56</v>
      </c>
      <c r="F951">
        <f>Summary!$B$3-D951</f>
        <v/>
      </c>
      <c r="G951">
        <f>IF(D951&gt;Summary!$B$3,"Current",IF(F951&lt;=30,"0-30",IF(F951&lt;=60,"31-60",IF(F951&lt;=90,"61-90","90+"))))</f>
        <v/>
      </c>
    </row>
    <row r="952">
      <c r="A952" t="inlineStr">
        <is>
          <t>0009027881</t>
        </is>
      </c>
      <c r="B952" t="inlineStr">
        <is>
          <t>0000100543</t>
        </is>
      </c>
      <c r="C952" s="3" t="n">
        <v>45970</v>
      </c>
      <c r="D952" s="3" t="n">
        <v>46030</v>
      </c>
      <c r="E952" s="4" t="n">
        <v>367.7</v>
      </c>
      <c r="F952">
        <f>Summary!$B$3-D952</f>
        <v/>
      </c>
      <c r="G952">
        <f>IF(D952&gt;Summary!$B$3,"Current",IF(F952&lt;=30,"0-30",IF(F952&lt;=60,"31-60",IF(F952&lt;=90,"61-90","90+"))))</f>
        <v/>
      </c>
    </row>
    <row r="953">
      <c r="A953" t="inlineStr">
        <is>
          <t>0009027883</t>
        </is>
      </c>
      <c r="B953" t="inlineStr">
        <is>
          <t>0000100105</t>
        </is>
      </c>
      <c r="C953" s="3" t="n">
        <v>45976</v>
      </c>
      <c r="D953" s="3" t="n">
        <v>46021</v>
      </c>
      <c r="E953" s="4" t="n">
        <v>1592.95</v>
      </c>
      <c r="F953">
        <f>Summary!$B$3-D953</f>
        <v/>
      </c>
      <c r="G953">
        <f>IF(D953&gt;Summary!$B$3,"Current",IF(F953&lt;=30,"0-30",IF(F953&lt;=60,"31-60",IF(F953&lt;=90,"61-90","90+"))))</f>
        <v/>
      </c>
    </row>
    <row r="954">
      <c r="A954" t="inlineStr">
        <is>
          <t>0009027890</t>
        </is>
      </c>
      <c r="B954" t="inlineStr">
        <is>
          <t>0000100116</t>
        </is>
      </c>
      <c r="C954" s="3" t="n">
        <v>45971</v>
      </c>
      <c r="D954" s="3" t="n">
        <v>46016</v>
      </c>
      <c r="E954" s="4" t="n">
        <v>583.3200000000001</v>
      </c>
      <c r="F954">
        <f>Summary!$B$3-D954</f>
        <v/>
      </c>
      <c r="G954">
        <f>IF(D954&gt;Summary!$B$3,"Current",IF(F954&lt;=30,"0-30",IF(F954&lt;=60,"31-60",IF(F954&lt;=90,"61-90","90+"))))</f>
        <v/>
      </c>
    </row>
    <row r="955">
      <c r="A955" t="inlineStr">
        <is>
          <t>0009027892</t>
        </is>
      </c>
      <c r="B955" t="inlineStr">
        <is>
          <t>0000100360</t>
        </is>
      </c>
      <c r="C955" s="3" t="n">
        <v>45970</v>
      </c>
      <c r="D955" s="3" t="n">
        <v>46015</v>
      </c>
      <c r="E955" s="4" t="n">
        <v>876.85</v>
      </c>
      <c r="F955">
        <f>Summary!$B$3-D955</f>
        <v/>
      </c>
      <c r="G955">
        <f>IF(D955&gt;Summary!$B$3,"Current",IF(F955&lt;=30,"0-30",IF(F955&lt;=60,"31-60",IF(F955&lt;=90,"61-90","90+"))))</f>
        <v/>
      </c>
    </row>
    <row r="956">
      <c r="A956" t="inlineStr">
        <is>
          <t>0009027893</t>
        </is>
      </c>
      <c r="B956" t="inlineStr">
        <is>
          <t>0000100022</t>
        </is>
      </c>
      <c r="C956" s="3" t="n">
        <v>45971</v>
      </c>
      <c r="D956" s="3" t="n">
        <v>46031</v>
      </c>
      <c r="E956" s="4" t="n">
        <v>304.36</v>
      </c>
      <c r="F956">
        <f>Summary!$B$3-D956</f>
        <v/>
      </c>
      <c r="G956">
        <f>IF(D956&gt;Summary!$B$3,"Current",IF(F956&lt;=30,"0-30",IF(F956&lt;=60,"31-60",IF(F956&lt;=90,"61-90","90+"))))</f>
        <v/>
      </c>
    </row>
    <row r="957">
      <c r="A957" t="inlineStr">
        <is>
          <t>0009027894</t>
        </is>
      </c>
      <c r="B957" t="inlineStr">
        <is>
          <t>0000100357</t>
        </is>
      </c>
      <c r="C957" s="3" t="n">
        <v>45974</v>
      </c>
      <c r="D957" s="3" t="n">
        <v>46019</v>
      </c>
      <c r="E957" s="4" t="n">
        <v>1090.2</v>
      </c>
      <c r="F957">
        <f>Summary!$B$3-D957</f>
        <v/>
      </c>
      <c r="G957">
        <f>IF(D957&gt;Summary!$B$3,"Current",IF(F957&lt;=30,"0-30",IF(F957&lt;=60,"31-60",IF(F957&lt;=90,"61-90","90+"))))</f>
        <v/>
      </c>
    </row>
    <row r="958">
      <c r="A958" t="inlineStr">
        <is>
          <t>0009027897</t>
        </is>
      </c>
      <c r="B958" t="inlineStr">
        <is>
          <t>0000100249</t>
        </is>
      </c>
      <c r="C958" s="3" t="n">
        <v>45971</v>
      </c>
      <c r="D958" s="3" t="n">
        <v>46031</v>
      </c>
      <c r="E958" s="4" t="n">
        <v>621.7</v>
      </c>
      <c r="F958">
        <f>Summary!$B$3-D958</f>
        <v/>
      </c>
      <c r="G958">
        <f>IF(D958&gt;Summary!$B$3,"Current",IF(F958&lt;=30,"0-30",IF(F958&lt;=60,"31-60",IF(F958&lt;=90,"61-90","90+"))))</f>
        <v/>
      </c>
    </row>
    <row r="959">
      <c r="A959" t="inlineStr">
        <is>
          <t>0009027898</t>
        </is>
      </c>
      <c r="B959" t="inlineStr">
        <is>
          <t>0000100198</t>
        </is>
      </c>
      <c r="C959" s="3" t="n">
        <v>45973</v>
      </c>
      <c r="D959" s="3" t="n">
        <v>46018</v>
      </c>
      <c r="E959" s="4" t="n">
        <v>347.02</v>
      </c>
      <c r="F959">
        <f>Summary!$B$3-D959</f>
        <v/>
      </c>
      <c r="G959">
        <f>IF(D959&gt;Summary!$B$3,"Current",IF(F959&lt;=30,"0-30",IF(F959&lt;=60,"31-60",IF(F959&lt;=90,"61-90","90+"))))</f>
        <v/>
      </c>
    </row>
    <row r="960">
      <c r="A960" t="inlineStr">
        <is>
          <t>0009027900</t>
        </is>
      </c>
      <c r="B960" t="inlineStr">
        <is>
          <t>0000100052</t>
        </is>
      </c>
      <c r="C960" s="3" t="n">
        <v>45976</v>
      </c>
      <c r="D960" s="3" t="n">
        <v>46021</v>
      </c>
      <c r="E960" s="4" t="n">
        <v>1726.76</v>
      </c>
      <c r="F960">
        <f>Summary!$B$3-D960</f>
        <v/>
      </c>
      <c r="G960">
        <f>IF(D960&gt;Summary!$B$3,"Current",IF(F960&lt;=30,"0-30",IF(F960&lt;=60,"31-60",IF(F960&lt;=90,"61-90","90+"))))</f>
        <v/>
      </c>
    </row>
    <row r="961">
      <c r="A961" t="inlineStr">
        <is>
          <t>0009027901</t>
        </is>
      </c>
      <c r="B961" t="inlineStr">
        <is>
          <t>0000100357</t>
        </is>
      </c>
      <c r="C961" s="3" t="n">
        <v>45972</v>
      </c>
      <c r="D961" s="3" t="n">
        <v>46017</v>
      </c>
      <c r="E961" s="4" t="n">
        <v>237.11</v>
      </c>
      <c r="F961">
        <f>Summary!$B$3-D961</f>
        <v/>
      </c>
      <c r="G961">
        <f>IF(D961&gt;Summary!$B$3,"Current",IF(F961&lt;=30,"0-30",IF(F961&lt;=60,"31-60",IF(F961&lt;=90,"61-90","90+"))))</f>
        <v/>
      </c>
    </row>
    <row r="962">
      <c r="A962" t="inlineStr">
        <is>
          <t>0009027906</t>
        </is>
      </c>
      <c r="B962" t="inlineStr">
        <is>
          <t>0000100227</t>
        </is>
      </c>
      <c r="C962" s="3" t="n">
        <v>45972</v>
      </c>
      <c r="D962" s="3" t="n">
        <v>46002</v>
      </c>
      <c r="E962" s="4" t="n">
        <v>400.38</v>
      </c>
      <c r="F962">
        <f>Summary!$B$3-D962</f>
        <v/>
      </c>
      <c r="G962">
        <f>IF(D962&gt;Summary!$B$3,"Current",IF(F962&lt;=30,"0-30",IF(F962&lt;=60,"31-60",IF(F962&lt;=90,"61-90","90+"))))</f>
        <v/>
      </c>
    </row>
    <row r="963">
      <c r="A963" t="inlineStr">
        <is>
          <t>0009027910</t>
        </is>
      </c>
      <c r="B963" t="inlineStr">
        <is>
          <t>0000100364</t>
        </is>
      </c>
      <c r="C963" s="3" t="n">
        <v>45976</v>
      </c>
      <c r="D963" s="3" t="n">
        <v>46036</v>
      </c>
      <c r="E963" s="4" t="n">
        <v>411.77</v>
      </c>
      <c r="F963">
        <f>Summary!$B$3-D963</f>
        <v/>
      </c>
      <c r="G963">
        <f>IF(D963&gt;Summary!$B$3,"Current",IF(F963&lt;=30,"0-30",IF(F963&lt;=60,"31-60",IF(F963&lt;=90,"61-90","90+"))))</f>
        <v/>
      </c>
    </row>
    <row r="964">
      <c r="A964" t="inlineStr">
        <is>
          <t>0009027912</t>
        </is>
      </c>
      <c r="B964" t="inlineStr">
        <is>
          <t>0000100228</t>
        </is>
      </c>
      <c r="C964" s="3" t="n">
        <v>45973</v>
      </c>
      <c r="D964" s="3" t="n">
        <v>46033</v>
      </c>
      <c r="E964" s="4" t="n">
        <v>285.83</v>
      </c>
      <c r="F964">
        <f>Summary!$B$3-D964</f>
        <v/>
      </c>
      <c r="G964">
        <f>IF(D964&gt;Summary!$B$3,"Current",IF(F964&lt;=30,"0-30",IF(F964&lt;=60,"31-60",IF(F964&lt;=90,"61-90","90+"))))</f>
        <v/>
      </c>
    </row>
    <row r="965">
      <c r="A965" t="inlineStr">
        <is>
          <t>0009027913</t>
        </is>
      </c>
      <c r="B965" t="inlineStr">
        <is>
          <t>0000100262</t>
        </is>
      </c>
      <c r="C965" s="3" t="n">
        <v>45969</v>
      </c>
      <c r="D965" s="3" t="n">
        <v>46014</v>
      </c>
      <c r="E965" s="4" t="n">
        <v>394.6</v>
      </c>
      <c r="F965">
        <f>Summary!$B$3-D965</f>
        <v/>
      </c>
      <c r="G965">
        <f>IF(D965&gt;Summary!$B$3,"Current",IF(F965&lt;=30,"0-30",IF(F965&lt;=60,"31-60",IF(F965&lt;=90,"61-90","90+"))))</f>
        <v/>
      </c>
    </row>
    <row r="966">
      <c r="A966" t="inlineStr">
        <is>
          <t>0009027916</t>
        </is>
      </c>
      <c r="B966" t="inlineStr">
        <is>
          <t>0000100587</t>
        </is>
      </c>
      <c r="C966" s="3" t="n">
        <v>45966</v>
      </c>
      <c r="D966" s="3" t="n">
        <v>46026</v>
      </c>
      <c r="E966" s="4" t="n">
        <v>934.28</v>
      </c>
      <c r="F966">
        <f>Summary!$B$3-D966</f>
        <v/>
      </c>
      <c r="G966">
        <f>IF(D966&gt;Summary!$B$3,"Current",IF(F966&lt;=30,"0-30",IF(F966&lt;=60,"31-60",IF(F966&lt;=90,"61-90","90+"))))</f>
        <v/>
      </c>
    </row>
    <row r="967">
      <c r="A967" t="inlineStr">
        <is>
          <t>0009027918</t>
        </is>
      </c>
      <c r="B967" t="inlineStr">
        <is>
          <t>0000100587</t>
        </is>
      </c>
      <c r="C967" s="3" t="n">
        <v>45971</v>
      </c>
      <c r="D967" s="3" t="n">
        <v>46031</v>
      </c>
      <c r="E967" s="4" t="n">
        <v>794.26</v>
      </c>
      <c r="F967">
        <f>Summary!$B$3-D967</f>
        <v/>
      </c>
      <c r="G967">
        <f>IF(D967&gt;Summary!$B$3,"Current",IF(F967&lt;=30,"0-30",IF(F967&lt;=60,"31-60",IF(F967&lt;=90,"61-90","90+"))))</f>
        <v/>
      </c>
    </row>
    <row r="968">
      <c r="A968" t="inlineStr">
        <is>
          <t>0009027919</t>
        </is>
      </c>
      <c r="B968" t="inlineStr">
        <is>
          <t>0000100312</t>
        </is>
      </c>
      <c r="C968" s="3" t="n">
        <v>45971</v>
      </c>
      <c r="D968" s="3" t="n">
        <v>46031</v>
      </c>
      <c r="E968" s="4" t="n">
        <v>504.84</v>
      </c>
      <c r="F968">
        <f>Summary!$B$3-D968</f>
        <v/>
      </c>
      <c r="G968">
        <f>IF(D968&gt;Summary!$B$3,"Current",IF(F968&lt;=30,"0-30",IF(F968&lt;=60,"31-60",IF(F968&lt;=90,"61-90","90+"))))</f>
        <v/>
      </c>
    </row>
    <row r="969">
      <c r="A969" t="inlineStr">
        <is>
          <t>0009027923</t>
        </is>
      </c>
      <c r="B969" t="inlineStr">
        <is>
          <t>0000100434</t>
        </is>
      </c>
      <c r="C969" s="3" t="n">
        <v>45976</v>
      </c>
      <c r="D969" s="3" t="n">
        <v>46006</v>
      </c>
      <c r="E969" s="4" t="n">
        <v>664.33</v>
      </c>
      <c r="F969">
        <f>Summary!$B$3-D969</f>
        <v/>
      </c>
      <c r="G969">
        <f>IF(D969&gt;Summary!$B$3,"Current",IF(F969&lt;=30,"0-30",IF(F969&lt;=60,"31-60",IF(F969&lt;=90,"61-90","90+"))))</f>
        <v/>
      </c>
    </row>
    <row r="970">
      <c r="A970" t="inlineStr">
        <is>
          <t>0009027924</t>
        </is>
      </c>
      <c r="B970" t="inlineStr">
        <is>
          <t>0000100360</t>
        </is>
      </c>
      <c r="C970" s="3" t="n">
        <v>45970</v>
      </c>
      <c r="D970" s="3" t="n">
        <v>46015</v>
      </c>
      <c r="E970" s="4" t="n">
        <v>387.94</v>
      </c>
      <c r="F970">
        <f>Summary!$B$3-D970</f>
        <v/>
      </c>
      <c r="G970">
        <f>IF(D970&gt;Summary!$B$3,"Current",IF(F970&lt;=30,"0-30",IF(F970&lt;=60,"31-60",IF(F970&lt;=90,"61-90","90+"))))</f>
        <v/>
      </c>
    </row>
    <row r="971">
      <c r="A971" t="inlineStr">
        <is>
          <t>0009027925</t>
        </is>
      </c>
      <c r="B971" t="inlineStr">
        <is>
          <t>0000100348</t>
        </is>
      </c>
      <c r="C971" s="3" t="n">
        <v>45977</v>
      </c>
      <c r="D971" s="3" t="n">
        <v>46037</v>
      </c>
      <c r="E971" s="4" t="n">
        <v>317.44</v>
      </c>
      <c r="F971">
        <f>Summary!$B$3-D971</f>
        <v/>
      </c>
      <c r="G971">
        <f>IF(D971&gt;Summary!$B$3,"Current",IF(F971&lt;=30,"0-30",IF(F971&lt;=60,"31-60",IF(F971&lt;=90,"61-90","90+"))))</f>
        <v/>
      </c>
    </row>
    <row r="972">
      <c r="A972" t="inlineStr">
        <is>
          <t>0009027926</t>
        </is>
      </c>
      <c r="B972" t="inlineStr">
        <is>
          <t>0000100484</t>
        </is>
      </c>
      <c r="C972" s="3" t="n">
        <v>45970</v>
      </c>
      <c r="D972" s="3" t="n">
        <v>46030</v>
      </c>
      <c r="E972" s="4" t="n">
        <v>670.37</v>
      </c>
      <c r="F972">
        <f>Summary!$B$3-D972</f>
        <v/>
      </c>
      <c r="G972">
        <f>IF(D972&gt;Summary!$B$3,"Current",IF(F972&lt;=30,"0-30",IF(F972&lt;=60,"31-60",IF(F972&lt;=90,"61-90","90+"))))</f>
        <v/>
      </c>
    </row>
    <row r="973">
      <c r="A973" t="inlineStr">
        <is>
          <t>0009027927</t>
        </is>
      </c>
      <c r="B973" t="inlineStr">
        <is>
          <t>0000100389</t>
        </is>
      </c>
      <c r="C973" s="3" t="n">
        <v>45976</v>
      </c>
      <c r="D973" s="3" t="n">
        <v>46021</v>
      </c>
      <c r="E973" s="4" t="n">
        <v>1183.24</v>
      </c>
      <c r="F973">
        <f>Summary!$B$3-D973</f>
        <v/>
      </c>
      <c r="G973">
        <f>IF(D973&gt;Summary!$B$3,"Current",IF(F973&lt;=30,"0-30",IF(F973&lt;=60,"31-60",IF(F973&lt;=90,"61-90","90+"))))</f>
        <v/>
      </c>
    </row>
    <row r="974">
      <c r="A974" t="inlineStr">
        <is>
          <t>0009027930</t>
        </is>
      </c>
      <c r="B974" t="inlineStr">
        <is>
          <t>0000100473</t>
        </is>
      </c>
      <c r="C974" s="3" t="n">
        <v>45971</v>
      </c>
      <c r="D974" s="3" t="n">
        <v>46031</v>
      </c>
      <c r="E974" s="4" t="n">
        <v>395.2</v>
      </c>
      <c r="F974">
        <f>Summary!$B$3-D974</f>
        <v/>
      </c>
      <c r="G974">
        <f>IF(D974&gt;Summary!$B$3,"Current",IF(F974&lt;=30,"0-30",IF(F974&lt;=60,"31-60",IF(F974&lt;=90,"61-90","90+"))))</f>
        <v/>
      </c>
    </row>
    <row r="975">
      <c r="A975" t="inlineStr">
        <is>
          <t>0009027932</t>
        </is>
      </c>
      <c r="B975" t="inlineStr">
        <is>
          <t>0000100272</t>
        </is>
      </c>
      <c r="C975" s="3" t="n">
        <v>45971</v>
      </c>
      <c r="D975" s="3" t="n">
        <v>46031</v>
      </c>
      <c r="E975" s="4" t="n">
        <v>362.34</v>
      </c>
      <c r="F975">
        <f>Summary!$B$3-D975</f>
        <v/>
      </c>
      <c r="G975">
        <f>IF(D975&gt;Summary!$B$3,"Current",IF(F975&lt;=30,"0-30",IF(F975&lt;=60,"31-60",IF(F975&lt;=90,"61-90","90+"))))</f>
        <v/>
      </c>
    </row>
    <row r="976">
      <c r="A976" t="inlineStr">
        <is>
          <t>0009027933</t>
        </is>
      </c>
      <c r="B976" t="inlineStr">
        <is>
          <t>0000100345</t>
        </is>
      </c>
      <c r="C976" s="3" t="n">
        <v>45976</v>
      </c>
      <c r="D976" s="3" t="n">
        <v>46006</v>
      </c>
      <c r="E976" s="4" t="n">
        <v>20644.61</v>
      </c>
      <c r="F976">
        <f>Summary!$B$3-D976</f>
        <v/>
      </c>
      <c r="G976">
        <f>IF(D976&gt;Summary!$B$3,"Current",IF(F976&lt;=30,"0-30",IF(F976&lt;=60,"31-60",IF(F976&lt;=90,"61-90","90+"))))</f>
        <v/>
      </c>
    </row>
    <row r="977">
      <c r="A977" t="inlineStr">
        <is>
          <t>0009027942</t>
        </is>
      </c>
      <c r="B977" t="inlineStr">
        <is>
          <t>0000100529</t>
        </is>
      </c>
      <c r="C977" s="3" t="n">
        <v>45971</v>
      </c>
      <c r="D977" s="3" t="n">
        <v>46031</v>
      </c>
      <c r="E977" s="4" t="n">
        <v>909.33</v>
      </c>
      <c r="F977">
        <f>Summary!$B$3-D977</f>
        <v/>
      </c>
      <c r="G977">
        <f>IF(D977&gt;Summary!$B$3,"Current",IF(F977&lt;=30,"0-30",IF(F977&lt;=60,"31-60",IF(F977&lt;=90,"61-90","90+"))))</f>
        <v/>
      </c>
    </row>
    <row r="978">
      <c r="A978" t="inlineStr">
        <is>
          <t>0009027948</t>
        </is>
      </c>
      <c r="B978" t="inlineStr">
        <is>
          <t>0000100593</t>
        </is>
      </c>
      <c r="C978" s="3" t="n">
        <v>45975</v>
      </c>
      <c r="D978" s="3" t="n">
        <v>46035</v>
      </c>
      <c r="E978" s="4" t="n">
        <v>398.71</v>
      </c>
      <c r="F978">
        <f>Summary!$B$3-D978</f>
        <v/>
      </c>
      <c r="G978">
        <f>IF(D978&gt;Summary!$B$3,"Current",IF(F978&lt;=30,"0-30",IF(F978&lt;=60,"31-60",IF(F978&lt;=90,"61-90","90+"))))</f>
        <v/>
      </c>
    </row>
    <row r="979">
      <c r="A979" t="inlineStr">
        <is>
          <t>0009027952</t>
        </is>
      </c>
      <c r="B979" t="inlineStr">
        <is>
          <t>0000100564</t>
        </is>
      </c>
      <c r="C979" s="3" t="n">
        <v>45973</v>
      </c>
      <c r="D979" s="3" t="n">
        <v>46003</v>
      </c>
      <c r="E979" s="4" t="n">
        <v>2422.78</v>
      </c>
      <c r="F979">
        <f>Summary!$B$3-D979</f>
        <v/>
      </c>
      <c r="G979">
        <f>IF(D979&gt;Summary!$B$3,"Current",IF(F979&lt;=30,"0-30",IF(F979&lt;=60,"31-60",IF(F979&lt;=90,"61-90","90+"))))</f>
        <v/>
      </c>
    </row>
    <row r="980">
      <c r="A980" t="inlineStr">
        <is>
          <t>0009027956</t>
        </is>
      </c>
      <c r="B980" t="inlineStr">
        <is>
          <t>0000100069</t>
        </is>
      </c>
      <c r="C980" s="3" t="n">
        <v>45973</v>
      </c>
      <c r="D980" s="3" t="n">
        <v>46003</v>
      </c>
      <c r="E980" s="4" t="n">
        <v>2999.53</v>
      </c>
      <c r="F980">
        <f>Summary!$B$3-D980</f>
        <v/>
      </c>
      <c r="G980">
        <f>IF(D980&gt;Summary!$B$3,"Current",IF(F980&lt;=30,"0-30",IF(F980&lt;=60,"31-60",IF(F980&lt;=90,"61-90","90+"))))</f>
        <v/>
      </c>
    </row>
    <row r="981">
      <c r="A981" t="inlineStr">
        <is>
          <t>0009027957</t>
        </is>
      </c>
      <c r="B981" t="inlineStr">
        <is>
          <t>0000100394</t>
        </is>
      </c>
      <c r="C981" s="3" t="n">
        <v>45975</v>
      </c>
      <c r="D981" s="3" t="n">
        <v>46035</v>
      </c>
      <c r="E981" s="4" t="n">
        <v>603.35</v>
      </c>
      <c r="F981">
        <f>Summary!$B$3-D981</f>
        <v/>
      </c>
      <c r="G981">
        <f>IF(D981&gt;Summary!$B$3,"Current",IF(F981&lt;=30,"0-30",IF(F981&lt;=60,"31-60",IF(F981&lt;=90,"61-90","90+"))))</f>
        <v/>
      </c>
    </row>
    <row r="982">
      <c r="A982" t="inlineStr">
        <is>
          <t>0009027959</t>
        </is>
      </c>
      <c r="B982" t="inlineStr">
        <is>
          <t>0000100103</t>
        </is>
      </c>
      <c r="C982" s="3" t="n">
        <v>45972</v>
      </c>
      <c r="D982" s="3" t="n">
        <v>46032</v>
      </c>
      <c r="E982" s="4" t="n">
        <v>551.14</v>
      </c>
      <c r="F982">
        <f>Summary!$B$3-D982</f>
        <v/>
      </c>
      <c r="G982">
        <f>IF(D982&gt;Summary!$B$3,"Current",IF(F982&lt;=30,"0-30",IF(F982&lt;=60,"31-60",IF(F982&lt;=90,"61-90","90+"))))</f>
        <v/>
      </c>
    </row>
    <row r="983">
      <c r="A983" t="inlineStr">
        <is>
          <t>0009027960</t>
        </is>
      </c>
      <c r="B983" t="inlineStr">
        <is>
          <t>0000100338</t>
        </is>
      </c>
      <c r="C983" s="3" t="n">
        <v>45975</v>
      </c>
      <c r="D983" s="3" t="n">
        <v>46035</v>
      </c>
      <c r="E983" s="4" t="n">
        <v>5159.73</v>
      </c>
      <c r="F983">
        <f>Summary!$B$3-D983</f>
        <v/>
      </c>
      <c r="G983">
        <f>IF(D983&gt;Summary!$B$3,"Current",IF(F983&lt;=30,"0-30",IF(F983&lt;=60,"31-60",IF(F983&lt;=90,"61-90","90+"))))</f>
        <v/>
      </c>
    </row>
    <row r="984">
      <c r="A984" t="inlineStr">
        <is>
          <t>0009027967</t>
        </is>
      </c>
      <c r="B984" t="inlineStr">
        <is>
          <t>0000100149</t>
        </is>
      </c>
      <c r="C984" s="3" t="n">
        <v>45977</v>
      </c>
      <c r="D984" s="3" t="n">
        <v>46037</v>
      </c>
      <c r="E984" s="4" t="n">
        <v>1083.11</v>
      </c>
      <c r="F984">
        <f>Summary!$B$3-D984</f>
        <v/>
      </c>
      <c r="G984">
        <f>IF(D984&gt;Summary!$B$3,"Current",IF(F984&lt;=30,"0-30",IF(F984&lt;=60,"31-60",IF(F984&lt;=90,"61-90","90+"))))</f>
        <v/>
      </c>
    </row>
    <row r="985">
      <c r="A985" t="inlineStr">
        <is>
          <t>0009027969</t>
        </is>
      </c>
      <c r="B985" t="inlineStr">
        <is>
          <t>0000100398</t>
        </is>
      </c>
      <c r="C985" s="3" t="n">
        <v>45971</v>
      </c>
      <c r="D985" s="3" t="n">
        <v>46031</v>
      </c>
      <c r="E985" s="4" t="n">
        <v>1513.59</v>
      </c>
      <c r="F985">
        <f>Summary!$B$3-D985</f>
        <v/>
      </c>
      <c r="G985">
        <f>IF(D985&gt;Summary!$B$3,"Current",IF(F985&lt;=30,"0-30",IF(F985&lt;=60,"31-60",IF(F985&lt;=90,"61-90","90+"))))</f>
        <v/>
      </c>
    </row>
    <row r="986">
      <c r="A986" t="inlineStr">
        <is>
          <t>0009027970</t>
        </is>
      </c>
      <c r="B986" t="inlineStr">
        <is>
          <t>0000100073</t>
        </is>
      </c>
      <c r="C986" s="3" t="n">
        <v>45972</v>
      </c>
      <c r="D986" s="3" t="n">
        <v>46017</v>
      </c>
      <c r="E986" s="4" t="n">
        <v>1508.27</v>
      </c>
      <c r="F986">
        <f>Summary!$B$3-D986</f>
        <v/>
      </c>
      <c r="G986">
        <f>IF(D986&gt;Summary!$B$3,"Current",IF(F986&lt;=30,"0-30",IF(F986&lt;=60,"31-60",IF(F986&lt;=90,"61-90","90+"))))</f>
        <v/>
      </c>
    </row>
    <row r="987">
      <c r="A987" t="inlineStr">
        <is>
          <t>0009027971</t>
        </is>
      </c>
      <c r="B987" t="inlineStr">
        <is>
          <t>0000100424</t>
        </is>
      </c>
      <c r="C987" s="3" t="n">
        <v>45971</v>
      </c>
      <c r="D987" s="3" t="n">
        <v>46016</v>
      </c>
      <c r="E987" s="4" t="n">
        <v>2386.54</v>
      </c>
      <c r="F987">
        <f>Summary!$B$3-D987</f>
        <v/>
      </c>
      <c r="G987">
        <f>IF(D987&gt;Summary!$B$3,"Current",IF(F987&lt;=30,"0-30",IF(F987&lt;=60,"31-60",IF(F987&lt;=90,"61-90","90+"))))</f>
        <v/>
      </c>
    </row>
    <row r="988">
      <c r="A988" t="inlineStr">
        <is>
          <t>0009027973</t>
        </is>
      </c>
      <c r="B988" t="inlineStr">
        <is>
          <t>0000100106</t>
        </is>
      </c>
      <c r="C988" s="3" t="n">
        <v>45978</v>
      </c>
      <c r="D988" s="3" t="n">
        <v>46023</v>
      </c>
      <c r="E988" s="4" t="n">
        <v>185.4</v>
      </c>
      <c r="F988">
        <f>Summary!$B$3-D988</f>
        <v/>
      </c>
      <c r="G988">
        <f>IF(D988&gt;Summary!$B$3,"Current",IF(F988&lt;=30,"0-30",IF(F988&lt;=60,"31-60",IF(F988&lt;=90,"61-90","90+"))))</f>
        <v/>
      </c>
    </row>
    <row r="989">
      <c r="A989" t="inlineStr">
        <is>
          <t>0009027974</t>
        </is>
      </c>
      <c r="B989" t="inlineStr">
        <is>
          <t>0000100484</t>
        </is>
      </c>
      <c r="C989" s="3" t="n">
        <v>45970</v>
      </c>
      <c r="D989" s="3" t="n">
        <v>46030</v>
      </c>
      <c r="E989" s="4" t="n">
        <v>1195.86</v>
      </c>
      <c r="F989">
        <f>Summary!$B$3-D989</f>
        <v/>
      </c>
      <c r="G989">
        <f>IF(D989&gt;Summary!$B$3,"Current",IF(F989&lt;=30,"0-30",IF(F989&lt;=60,"31-60",IF(F989&lt;=90,"61-90","90+"))))</f>
        <v/>
      </c>
    </row>
    <row r="990">
      <c r="A990" t="inlineStr">
        <is>
          <t>0009027977</t>
        </is>
      </c>
      <c r="B990" t="inlineStr">
        <is>
          <t>0000100049</t>
        </is>
      </c>
      <c r="C990" s="3" t="n">
        <v>45976</v>
      </c>
      <c r="D990" s="3" t="n">
        <v>46006</v>
      </c>
      <c r="E990" s="4" t="n">
        <v>1042.01</v>
      </c>
      <c r="F990">
        <f>Summary!$B$3-D990</f>
        <v/>
      </c>
      <c r="G990">
        <f>IF(D990&gt;Summary!$B$3,"Current",IF(F990&lt;=30,"0-30",IF(F990&lt;=60,"31-60",IF(F990&lt;=90,"61-90","90+"))))</f>
        <v/>
      </c>
    </row>
    <row r="991">
      <c r="A991" t="inlineStr">
        <is>
          <t>0009027983</t>
        </is>
      </c>
      <c r="B991" t="inlineStr">
        <is>
          <t>0000100320</t>
        </is>
      </c>
      <c r="C991" s="3" t="n">
        <v>45979</v>
      </c>
      <c r="D991" s="3" t="n">
        <v>46009</v>
      </c>
      <c r="E991" s="4" t="n">
        <v>431.44</v>
      </c>
      <c r="F991">
        <f>Summary!$B$3-D991</f>
        <v/>
      </c>
      <c r="G991">
        <f>IF(D991&gt;Summary!$B$3,"Current",IF(F991&lt;=30,"0-30",IF(F991&lt;=60,"31-60",IF(F991&lt;=90,"61-90","90+"))))</f>
        <v/>
      </c>
    </row>
    <row r="992">
      <c r="A992" t="inlineStr">
        <is>
          <t>0009027985</t>
        </is>
      </c>
      <c r="B992" t="inlineStr">
        <is>
          <t>0000100348</t>
        </is>
      </c>
      <c r="C992" s="3" t="n">
        <v>45974</v>
      </c>
      <c r="D992" s="3" t="n">
        <v>46034</v>
      </c>
      <c r="E992" s="4" t="n">
        <v>5120.41</v>
      </c>
      <c r="F992">
        <f>Summary!$B$3-D992</f>
        <v/>
      </c>
      <c r="G992">
        <f>IF(D992&gt;Summary!$B$3,"Current",IF(F992&lt;=30,"0-30",IF(F992&lt;=60,"31-60",IF(F992&lt;=90,"61-90","90+"))))</f>
        <v/>
      </c>
    </row>
    <row r="993">
      <c r="A993" t="inlineStr">
        <is>
          <t>0009027987</t>
        </is>
      </c>
      <c r="B993" t="inlineStr">
        <is>
          <t>0000100001</t>
        </is>
      </c>
      <c r="C993" s="3" t="n">
        <v>45973</v>
      </c>
      <c r="D993" s="3" t="n">
        <v>46018</v>
      </c>
      <c r="E993" s="4" t="n">
        <v>1575.7</v>
      </c>
      <c r="F993">
        <f>Summary!$B$3-D993</f>
        <v/>
      </c>
      <c r="G993">
        <f>IF(D993&gt;Summary!$B$3,"Current",IF(F993&lt;=30,"0-30",IF(F993&lt;=60,"31-60",IF(F993&lt;=90,"61-90","90+"))))</f>
        <v/>
      </c>
    </row>
    <row r="994">
      <c r="A994" t="inlineStr">
        <is>
          <t>0009027988</t>
        </is>
      </c>
      <c r="B994" t="inlineStr">
        <is>
          <t>0000100463</t>
        </is>
      </c>
      <c r="C994" s="3" t="n">
        <v>45974</v>
      </c>
      <c r="D994" s="3" t="n">
        <v>46019</v>
      </c>
      <c r="E994" s="4" t="n">
        <v>1099.6</v>
      </c>
      <c r="F994">
        <f>Summary!$B$3-D994</f>
        <v/>
      </c>
      <c r="G994">
        <f>IF(D994&gt;Summary!$B$3,"Current",IF(F994&lt;=30,"0-30",IF(F994&lt;=60,"31-60",IF(F994&lt;=90,"61-90","90+"))))</f>
        <v/>
      </c>
    </row>
    <row r="995">
      <c r="A995" t="inlineStr">
        <is>
          <t>0009027990</t>
        </is>
      </c>
      <c r="B995" t="inlineStr">
        <is>
          <t>0000100074</t>
        </is>
      </c>
      <c r="C995" s="3" t="n">
        <v>45975</v>
      </c>
      <c r="D995" s="3" t="n">
        <v>46020</v>
      </c>
      <c r="E995" s="4" t="n">
        <v>141.17</v>
      </c>
      <c r="F995">
        <f>Summary!$B$3-D995</f>
        <v/>
      </c>
      <c r="G995">
        <f>IF(D995&gt;Summary!$B$3,"Current",IF(F995&lt;=30,"0-30",IF(F995&lt;=60,"31-60",IF(F995&lt;=90,"61-90","90+"))))</f>
        <v/>
      </c>
    </row>
    <row r="996">
      <c r="A996" t="inlineStr">
        <is>
          <t>0009027993</t>
        </is>
      </c>
      <c r="B996" t="inlineStr">
        <is>
          <t>0000100268</t>
        </is>
      </c>
      <c r="C996" s="3" t="n">
        <v>45975</v>
      </c>
      <c r="D996" s="3" t="n">
        <v>46005</v>
      </c>
      <c r="E996" s="4" t="n">
        <v>967.2</v>
      </c>
      <c r="F996">
        <f>Summary!$B$3-D996</f>
        <v/>
      </c>
      <c r="G996">
        <f>IF(D996&gt;Summary!$B$3,"Current",IF(F996&lt;=30,"0-30",IF(F996&lt;=60,"31-60",IF(F996&lt;=90,"61-90","90+"))))</f>
        <v/>
      </c>
    </row>
    <row r="997">
      <c r="A997" t="inlineStr">
        <is>
          <t>0009027994</t>
        </is>
      </c>
      <c r="B997" t="inlineStr">
        <is>
          <t>0000100366</t>
        </is>
      </c>
      <c r="C997" s="3" t="n">
        <v>45977</v>
      </c>
      <c r="D997" s="3" t="n">
        <v>46037</v>
      </c>
      <c r="E997" s="4" t="n">
        <v>1265.76</v>
      </c>
      <c r="F997">
        <f>Summary!$B$3-D997</f>
        <v/>
      </c>
      <c r="G997">
        <f>IF(D997&gt;Summary!$B$3,"Current",IF(F997&lt;=30,"0-30",IF(F997&lt;=60,"31-60",IF(F997&lt;=90,"61-90","90+"))))</f>
        <v/>
      </c>
    </row>
    <row r="998">
      <c r="A998" t="inlineStr">
        <is>
          <t>0009027998</t>
        </is>
      </c>
      <c r="B998" t="inlineStr">
        <is>
          <t>0000100241</t>
        </is>
      </c>
      <c r="C998" s="3" t="n">
        <v>45973</v>
      </c>
      <c r="D998" s="3" t="n">
        <v>46018</v>
      </c>
      <c r="E998" s="4" t="n">
        <v>240.9</v>
      </c>
      <c r="F998">
        <f>Summary!$B$3-D998</f>
        <v/>
      </c>
      <c r="G998">
        <f>IF(D998&gt;Summary!$B$3,"Current",IF(F998&lt;=30,"0-30",IF(F998&lt;=60,"31-60",IF(F998&lt;=90,"61-90","90+"))))</f>
        <v/>
      </c>
    </row>
    <row r="999">
      <c r="A999" t="inlineStr">
        <is>
          <t>0009028000</t>
        </is>
      </c>
      <c r="B999" t="inlineStr">
        <is>
          <t>0000100036</t>
        </is>
      </c>
      <c r="C999" s="3" t="n">
        <v>45976</v>
      </c>
      <c r="D999" s="3" t="n">
        <v>46021</v>
      </c>
      <c r="E999" s="4" t="n">
        <v>1355.4</v>
      </c>
      <c r="F999">
        <f>Summary!$B$3-D999</f>
        <v/>
      </c>
      <c r="G999">
        <f>IF(D999&gt;Summary!$B$3,"Current",IF(F999&lt;=30,"0-30",IF(F999&lt;=60,"31-60",IF(F999&lt;=90,"61-90","90+"))))</f>
        <v/>
      </c>
    </row>
    <row r="1000">
      <c r="A1000" t="inlineStr">
        <is>
          <t>0009028002</t>
        </is>
      </c>
      <c r="B1000" t="inlineStr">
        <is>
          <t>0000100447</t>
        </is>
      </c>
      <c r="C1000" s="3" t="n">
        <v>45977</v>
      </c>
      <c r="D1000" s="3" t="n">
        <v>46022</v>
      </c>
      <c r="E1000" s="4" t="n">
        <v>992.4400000000001</v>
      </c>
      <c r="F1000">
        <f>Summary!$B$3-D1000</f>
        <v/>
      </c>
      <c r="G1000">
        <f>IF(D1000&gt;Summary!$B$3,"Current",IF(F1000&lt;=30,"0-30",IF(F1000&lt;=60,"31-60",IF(F1000&lt;=90,"61-90","90+"))))</f>
        <v/>
      </c>
    </row>
    <row r="1001">
      <c r="A1001" t="inlineStr">
        <is>
          <t>0009028004</t>
        </is>
      </c>
      <c r="B1001" t="inlineStr">
        <is>
          <t>0000100364</t>
        </is>
      </c>
      <c r="C1001" s="3" t="n">
        <v>45971</v>
      </c>
      <c r="D1001" s="3" t="n">
        <v>46031</v>
      </c>
      <c r="E1001" s="4" t="n">
        <v>529.83</v>
      </c>
      <c r="F1001">
        <f>Summary!$B$3-D1001</f>
        <v/>
      </c>
      <c r="G1001">
        <f>IF(D1001&gt;Summary!$B$3,"Current",IF(F1001&lt;=30,"0-30",IF(F1001&lt;=60,"31-60",IF(F1001&lt;=90,"61-90","90+"))))</f>
        <v/>
      </c>
    </row>
    <row r="1002">
      <c r="A1002" t="inlineStr">
        <is>
          <t>0009028005</t>
        </is>
      </c>
      <c r="B1002" t="inlineStr">
        <is>
          <t>0000100357</t>
        </is>
      </c>
      <c r="C1002" s="3" t="n">
        <v>45979</v>
      </c>
      <c r="D1002" s="3" t="n">
        <v>46024</v>
      </c>
      <c r="E1002" s="4" t="n">
        <v>489.49</v>
      </c>
      <c r="F1002">
        <f>Summary!$B$3-D1002</f>
        <v/>
      </c>
      <c r="G1002">
        <f>IF(D1002&gt;Summary!$B$3,"Current",IF(F1002&lt;=30,"0-30",IF(F1002&lt;=60,"31-60",IF(F1002&lt;=90,"61-90","90+"))))</f>
        <v/>
      </c>
    </row>
    <row r="1003">
      <c r="A1003" t="inlineStr">
        <is>
          <t>0009028006</t>
        </is>
      </c>
      <c r="B1003" t="inlineStr">
        <is>
          <t>0000100429</t>
        </is>
      </c>
      <c r="C1003" s="3" t="n">
        <v>45975</v>
      </c>
      <c r="D1003" s="3" t="n">
        <v>46005</v>
      </c>
      <c r="E1003" s="4" t="n">
        <v>133.74</v>
      </c>
      <c r="F1003">
        <f>Summary!$B$3-D1003</f>
        <v/>
      </c>
      <c r="G1003">
        <f>IF(D1003&gt;Summary!$B$3,"Current",IF(F1003&lt;=30,"0-30",IF(F1003&lt;=60,"31-60",IF(F1003&lt;=90,"61-90","90+"))))</f>
        <v/>
      </c>
    </row>
    <row r="1004">
      <c r="A1004" t="inlineStr">
        <is>
          <t>0009028007</t>
        </is>
      </c>
      <c r="B1004" t="inlineStr">
        <is>
          <t>0000100058</t>
        </is>
      </c>
      <c r="C1004" s="3" t="n">
        <v>45973</v>
      </c>
      <c r="D1004" s="3" t="n">
        <v>46018</v>
      </c>
      <c r="E1004" s="4" t="n">
        <v>528.6</v>
      </c>
      <c r="F1004">
        <f>Summary!$B$3-D1004</f>
        <v/>
      </c>
      <c r="G1004">
        <f>IF(D1004&gt;Summary!$B$3,"Current",IF(F1004&lt;=30,"0-30",IF(F1004&lt;=60,"31-60",IF(F1004&lt;=90,"61-90","90+"))))</f>
        <v/>
      </c>
    </row>
    <row r="1005">
      <c r="A1005" t="inlineStr">
        <is>
          <t>0009028009</t>
        </is>
      </c>
      <c r="B1005" t="inlineStr">
        <is>
          <t>0000100116</t>
        </is>
      </c>
      <c r="C1005" s="3" t="n">
        <v>45983</v>
      </c>
      <c r="D1005" s="3" t="n">
        <v>46028</v>
      </c>
      <c r="E1005" s="4" t="n">
        <v>811.0599999999999</v>
      </c>
      <c r="F1005">
        <f>Summary!$B$3-D1005</f>
        <v/>
      </c>
      <c r="G1005">
        <f>IF(D1005&gt;Summary!$B$3,"Current",IF(F1005&lt;=30,"0-30",IF(F1005&lt;=60,"31-60",IF(F1005&lt;=90,"61-90","90+"))))</f>
        <v/>
      </c>
    </row>
    <row r="1006">
      <c r="A1006" t="inlineStr">
        <is>
          <t>0009028013</t>
        </is>
      </c>
      <c r="B1006" t="inlineStr">
        <is>
          <t>0000100111</t>
        </is>
      </c>
      <c r="C1006" s="3" t="n">
        <v>45969</v>
      </c>
      <c r="D1006" s="3" t="n">
        <v>46014</v>
      </c>
      <c r="E1006" s="4" t="n">
        <v>1627.32</v>
      </c>
      <c r="F1006">
        <f>Summary!$B$3-D1006</f>
        <v/>
      </c>
      <c r="G1006">
        <f>IF(D1006&gt;Summary!$B$3,"Current",IF(F1006&lt;=30,"0-30",IF(F1006&lt;=60,"31-60",IF(F1006&lt;=90,"61-90","90+"))))</f>
        <v/>
      </c>
    </row>
    <row r="1007">
      <c r="A1007" t="inlineStr">
        <is>
          <t>0009028014</t>
        </is>
      </c>
      <c r="B1007" t="inlineStr">
        <is>
          <t>0000100346</t>
        </is>
      </c>
      <c r="C1007" s="3" t="n">
        <v>45976</v>
      </c>
      <c r="D1007" s="3" t="n">
        <v>46021</v>
      </c>
      <c r="E1007" s="4" t="n">
        <v>545.6</v>
      </c>
      <c r="F1007">
        <f>Summary!$B$3-D1007</f>
        <v/>
      </c>
      <c r="G1007">
        <f>IF(D1007&gt;Summary!$B$3,"Current",IF(F1007&lt;=30,"0-30",IF(F1007&lt;=60,"31-60",IF(F1007&lt;=90,"61-90","90+"))))</f>
        <v/>
      </c>
    </row>
    <row r="1008">
      <c r="A1008" t="inlineStr">
        <is>
          <t>0009028016</t>
        </is>
      </c>
      <c r="B1008" t="inlineStr">
        <is>
          <t>0000100543</t>
        </is>
      </c>
      <c r="C1008" s="3" t="n">
        <v>45972</v>
      </c>
      <c r="D1008" s="3" t="n">
        <v>46032</v>
      </c>
      <c r="E1008" s="4" t="n">
        <v>709.15</v>
      </c>
      <c r="F1008">
        <f>Summary!$B$3-D1008</f>
        <v/>
      </c>
      <c r="G1008">
        <f>IF(D1008&gt;Summary!$B$3,"Current",IF(F1008&lt;=30,"0-30",IF(F1008&lt;=60,"31-60",IF(F1008&lt;=90,"61-90","90+"))))</f>
        <v/>
      </c>
    </row>
    <row r="1009">
      <c r="A1009" t="inlineStr">
        <is>
          <t>0009028018</t>
        </is>
      </c>
      <c r="B1009" t="inlineStr">
        <is>
          <t>0000100529</t>
        </is>
      </c>
      <c r="C1009" s="3" t="n">
        <v>45976</v>
      </c>
      <c r="D1009" s="3" t="n">
        <v>46036</v>
      </c>
      <c r="E1009" s="4" t="n">
        <v>947.75</v>
      </c>
      <c r="F1009">
        <f>Summary!$B$3-D1009</f>
        <v/>
      </c>
      <c r="G1009">
        <f>IF(D1009&gt;Summary!$B$3,"Current",IF(F1009&lt;=30,"0-30",IF(F1009&lt;=60,"31-60",IF(F1009&lt;=90,"61-90","90+"))))</f>
        <v/>
      </c>
    </row>
    <row r="1010">
      <c r="A1010" t="inlineStr">
        <is>
          <t>0009028020</t>
        </is>
      </c>
      <c r="B1010" t="inlineStr">
        <is>
          <t>0000100226</t>
        </is>
      </c>
      <c r="C1010" s="3" t="n">
        <v>45975</v>
      </c>
      <c r="D1010" s="3" t="n">
        <v>46020</v>
      </c>
      <c r="E1010" s="4" t="n">
        <v>109.98</v>
      </c>
      <c r="F1010">
        <f>Summary!$B$3-D1010</f>
        <v/>
      </c>
      <c r="G1010">
        <f>IF(D1010&gt;Summary!$B$3,"Current",IF(F1010&lt;=30,"0-30",IF(F1010&lt;=60,"31-60",IF(F1010&lt;=90,"61-90","90+"))))</f>
        <v/>
      </c>
    </row>
    <row r="1011">
      <c r="A1011" t="inlineStr">
        <is>
          <t>0009028021</t>
        </is>
      </c>
      <c r="B1011" t="inlineStr">
        <is>
          <t>0000100590</t>
        </is>
      </c>
      <c r="C1011" s="3" t="n">
        <v>45973</v>
      </c>
      <c r="D1011" s="3" t="n">
        <v>46003</v>
      </c>
      <c r="E1011" s="4" t="n">
        <v>582.41</v>
      </c>
      <c r="F1011">
        <f>Summary!$B$3-D1011</f>
        <v/>
      </c>
      <c r="G1011">
        <f>IF(D1011&gt;Summary!$B$3,"Current",IF(F1011&lt;=30,"0-30",IF(F1011&lt;=60,"31-60",IF(F1011&lt;=90,"61-90","90+"))))</f>
        <v/>
      </c>
    </row>
    <row r="1012">
      <c r="A1012" t="inlineStr">
        <is>
          <t>0009028022</t>
        </is>
      </c>
      <c r="B1012" t="inlineStr">
        <is>
          <t>0000100279</t>
        </is>
      </c>
      <c r="C1012" s="3" t="n">
        <v>45973</v>
      </c>
      <c r="D1012" s="3" t="n">
        <v>46018</v>
      </c>
      <c r="E1012" s="4" t="n">
        <v>1906.01</v>
      </c>
      <c r="F1012">
        <f>Summary!$B$3-D1012</f>
        <v/>
      </c>
      <c r="G1012">
        <f>IF(D1012&gt;Summary!$B$3,"Current",IF(F1012&lt;=30,"0-30",IF(F1012&lt;=60,"31-60",IF(F1012&lt;=90,"61-90","90+"))))</f>
        <v/>
      </c>
    </row>
    <row r="1013">
      <c r="A1013" t="inlineStr">
        <is>
          <t>0009028023</t>
        </is>
      </c>
      <c r="B1013" t="inlineStr">
        <is>
          <t>0000100356</t>
        </is>
      </c>
      <c r="C1013" s="3" t="n">
        <v>45980</v>
      </c>
      <c r="D1013" s="3" t="n">
        <v>46025</v>
      </c>
      <c r="E1013" s="4" t="n">
        <v>4925.49</v>
      </c>
      <c r="F1013">
        <f>Summary!$B$3-D1013</f>
        <v/>
      </c>
      <c r="G1013">
        <f>IF(D1013&gt;Summary!$B$3,"Current",IF(F1013&lt;=30,"0-30",IF(F1013&lt;=60,"31-60",IF(F1013&lt;=90,"61-90","90+"))))</f>
        <v/>
      </c>
    </row>
    <row r="1014">
      <c r="A1014" t="inlineStr">
        <is>
          <t>0009028024</t>
        </is>
      </c>
      <c r="B1014" t="inlineStr">
        <is>
          <t>0000100068</t>
        </is>
      </c>
      <c r="C1014" s="3" t="n">
        <v>45979</v>
      </c>
      <c r="D1014" s="3" t="n">
        <v>46009</v>
      </c>
      <c r="E1014" s="4" t="n">
        <v>679.42</v>
      </c>
      <c r="F1014">
        <f>Summary!$B$3-D1014</f>
        <v/>
      </c>
      <c r="G1014">
        <f>IF(D1014&gt;Summary!$B$3,"Current",IF(F1014&lt;=30,"0-30",IF(F1014&lt;=60,"31-60",IF(F1014&lt;=90,"61-90","90+"))))</f>
        <v/>
      </c>
    </row>
    <row r="1015">
      <c r="A1015" t="inlineStr">
        <is>
          <t>0009028028</t>
        </is>
      </c>
      <c r="B1015" t="inlineStr">
        <is>
          <t>0000100249</t>
        </is>
      </c>
      <c r="C1015" s="3" t="n">
        <v>45975</v>
      </c>
      <c r="D1015" s="3" t="n">
        <v>46035</v>
      </c>
      <c r="E1015" s="4" t="n">
        <v>3648.1</v>
      </c>
      <c r="F1015">
        <f>Summary!$B$3-D1015</f>
        <v/>
      </c>
      <c r="G1015">
        <f>IF(D1015&gt;Summary!$B$3,"Current",IF(F1015&lt;=30,"0-30",IF(F1015&lt;=60,"31-60",IF(F1015&lt;=90,"61-90","90+"))))</f>
        <v/>
      </c>
    </row>
    <row r="1016">
      <c r="A1016" t="inlineStr">
        <is>
          <t>0009028029</t>
        </is>
      </c>
      <c r="B1016" t="inlineStr">
        <is>
          <t>0000100189</t>
        </is>
      </c>
      <c r="C1016" s="3" t="n">
        <v>45978</v>
      </c>
      <c r="D1016" s="3" t="n">
        <v>46023</v>
      </c>
      <c r="E1016" s="4" t="n">
        <v>87.84</v>
      </c>
      <c r="F1016">
        <f>Summary!$B$3-D1016</f>
        <v/>
      </c>
      <c r="G1016">
        <f>IF(D1016&gt;Summary!$B$3,"Current",IF(F1016&lt;=30,"0-30",IF(F1016&lt;=60,"31-60",IF(F1016&lt;=90,"61-90","90+"))))</f>
        <v/>
      </c>
    </row>
    <row r="1017">
      <c r="A1017" t="inlineStr">
        <is>
          <t>0009028030</t>
        </is>
      </c>
      <c r="B1017" t="inlineStr">
        <is>
          <t>0000100513</t>
        </is>
      </c>
      <c r="C1017" s="3" t="n">
        <v>45972</v>
      </c>
      <c r="D1017" s="3" t="n">
        <v>46032</v>
      </c>
      <c r="E1017" s="4" t="n">
        <v>159.29</v>
      </c>
      <c r="F1017">
        <f>Summary!$B$3-D1017</f>
        <v/>
      </c>
      <c r="G1017">
        <f>IF(D1017&gt;Summary!$B$3,"Current",IF(F1017&lt;=30,"0-30",IF(F1017&lt;=60,"31-60",IF(F1017&lt;=90,"61-90","90+"))))</f>
        <v/>
      </c>
    </row>
    <row r="1018">
      <c r="A1018" t="inlineStr">
        <is>
          <t>0009028031</t>
        </is>
      </c>
      <c r="B1018" t="inlineStr">
        <is>
          <t>0000100481</t>
        </is>
      </c>
      <c r="C1018" s="3" t="n">
        <v>45976</v>
      </c>
      <c r="D1018" s="3" t="n">
        <v>46036</v>
      </c>
      <c r="E1018" s="4" t="n">
        <v>247.29</v>
      </c>
      <c r="F1018">
        <f>Summary!$B$3-D1018</f>
        <v/>
      </c>
      <c r="G1018">
        <f>IF(D1018&gt;Summary!$B$3,"Current",IF(F1018&lt;=30,"0-30",IF(F1018&lt;=60,"31-60",IF(F1018&lt;=90,"61-90","90+"))))</f>
        <v/>
      </c>
    </row>
    <row r="1019">
      <c r="A1019" t="inlineStr">
        <is>
          <t>0009028034</t>
        </is>
      </c>
      <c r="B1019" t="inlineStr">
        <is>
          <t>0000100002</t>
        </is>
      </c>
      <c r="C1019" s="3" t="n">
        <v>45975</v>
      </c>
      <c r="D1019" s="3" t="n">
        <v>46035</v>
      </c>
      <c r="E1019" s="4" t="n">
        <v>3737.59</v>
      </c>
      <c r="F1019">
        <f>Summary!$B$3-D1019</f>
        <v/>
      </c>
      <c r="G1019">
        <f>IF(D1019&gt;Summary!$B$3,"Current",IF(F1019&lt;=30,"0-30",IF(F1019&lt;=60,"31-60",IF(F1019&lt;=90,"61-90","90+"))))</f>
        <v/>
      </c>
    </row>
    <row r="1020">
      <c r="A1020" t="inlineStr">
        <is>
          <t>0009028036</t>
        </is>
      </c>
      <c r="B1020" t="inlineStr">
        <is>
          <t>0000100028</t>
        </is>
      </c>
      <c r="C1020" s="3" t="n">
        <v>45969</v>
      </c>
      <c r="D1020" s="3" t="n">
        <v>46014</v>
      </c>
      <c r="E1020" s="4" t="n">
        <v>614.5599999999999</v>
      </c>
      <c r="F1020">
        <f>Summary!$B$3-D1020</f>
        <v/>
      </c>
      <c r="G1020">
        <f>IF(D1020&gt;Summary!$B$3,"Current",IF(F1020&lt;=30,"0-30",IF(F1020&lt;=60,"31-60",IF(F1020&lt;=90,"61-90","90+"))))</f>
        <v/>
      </c>
    </row>
    <row r="1021">
      <c r="A1021" t="inlineStr">
        <is>
          <t>0009028037</t>
        </is>
      </c>
      <c r="B1021" t="inlineStr">
        <is>
          <t>0000100202</t>
        </is>
      </c>
      <c r="C1021" s="3" t="n">
        <v>45979</v>
      </c>
      <c r="D1021" s="3" t="n">
        <v>46039</v>
      </c>
      <c r="E1021" s="4" t="n">
        <v>898.36</v>
      </c>
      <c r="F1021">
        <f>Summary!$B$3-D1021</f>
        <v/>
      </c>
      <c r="G1021">
        <f>IF(D1021&gt;Summary!$B$3,"Current",IF(F1021&lt;=30,"0-30",IF(F1021&lt;=60,"31-60",IF(F1021&lt;=90,"61-90","90+"))))</f>
        <v/>
      </c>
    </row>
    <row r="1022">
      <c r="A1022" t="inlineStr">
        <is>
          <t>0009028041</t>
        </is>
      </c>
      <c r="B1022" t="inlineStr">
        <is>
          <t>0000100366</t>
        </is>
      </c>
      <c r="C1022" s="3" t="n">
        <v>45974</v>
      </c>
      <c r="D1022" s="3" t="n">
        <v>46034</v>
      </c>
      <c r="E1022" s="4" t="n">
        <v>168.8</v>
      </c>
      <c r="F1022">
        <f>Summary!$B$3-D1022</f>
        <v/>
      </c>
      <c r="G1022">
        <f>IF(D1022&gt;Summary!$B$3,"Current",IF(F1022&lt;=30,"0-30",IF(F1022&lt;=60,"31-60",IF(F1022&lt;=90,"61-90","90+"))))</f>
        <v/>
      </c>
    </row>
    <row r="1023">
      <c r="A1023" t="inlineStr">
        <is>
          <t>0009028043</t>
        </is>
      </c>
      <c r="B1023" t="inlineStr">
        <is>
          <t>0000100450</t>
        </is>
      </c>
      <c r="C1023" s="3" t="n">
        <v>45974</v>
      </c>
      <c r="D1023" s="3" t="n">
        <v>46019</v>
      </c>
      <c r="E1023" s="4" t="n">
        <v>1326.76</v>
      </c>
      <c r="F1023">
        <f>Summary!$B$3-D1023</f>
        <v/>
      </c>
      <c r="G1023">
        <f>IF(D1023&gt;Summary!$B$3,"Current",IF(F1023&lt;=30,"0-30",IF(F1023&lt;=60,"31-60",IF(F1023&lt;=90,"61-90","90+"))))</f>
        <v/>
      </c>
    </row>
    <row r="1024">
      <c r="A1024" t="inlineStr">
        <is>
          <t>0009028046</t>
        </is>
      </c>
      <c r="B1024" t="inlineStr">
        <is>
          <t>0000100291</t>
        </is>
      </c>
      <c r="C1024" s="3" t="n">
        <v>45973</v>
      </c>
      <c r="D1024" s="3" t="n">
        <v>46033</v>
      </c>
      <c r="E1024" s="4" t="n">
        <v>1492.3</v>
      </c>
      <c r="F1024">
        <f>Summary!$B$3-D1024</f>
        <v/>
      </c>
      <c r="G1024">
        <f>IF(D1024&gt;Summary!$B$3,"Current",IF(F1024&lt;=30,"0-30",IF(F1024&lt;=60,"31-60",IF(F1024&lt;=90,"61-90","90+"))))</f>
        <v/>
      </c>
    </row>
    <row r="1025">
      <c r="A1025" t="inlineStr">
        <is>
          <t>0009028047</t>
        </is>
      </c>
      <c r="B1025" t="inlineStr">
        <is>
          <t>0000100164</t>
        </is>
      </c>
      <c r="C1025" s="3" t="n">
        <v>45977</v>
      </c>
      <c r="D1025" s="3" t="n">
        <v>46037</v>
      </c>
      <c r="E1025" s="4" t="n">
        <v>2914.14</v>
      </c>
      <c r="F1025">
        <f>Summary!$B$3-D1025</f>
        <v/>
      </c>
      <c r="G1025">
        <f>IF(D1025&gt;Summary!$B$3,"Current",IF(F1025&lt;=30,"0-30",IF(F1025&lt;=60,"31-60",IF(F1025&lt;=90,"61-90","90+"))))</f>
        <v/>
      </c>
    </row>
    <row r="1026">
      <c r="A1026" t="inlineStr">
        <is>
          <t>0009028048</t>
        </is>
      </c>
      <c r="B1026" t="inlineStr">
        <is>
          <t>0000100593</t>
        </is>
      </c>
      <c r="C1026" s="3" t="n">
        <v>45975</v>
      </c>
      <c r="D1026" s="3" t="n">
        <v>46035</v>
      </c>
      <c r="E1026" s="4" t="n">
        <v>628.9400000000001</v>
      </c>
      <c r="F1026">
        <f>Summary!$B$3-D1026</f>
        <v/>
      </c>
      <c r="G1026">
        <f>IF(D1026&gt;Summary!$B$3,"Current",IF(F1026&lt;=30,"0-30",IF(F1026&lt;=60,"31-60",IF(F1026&lt;=90,"61-90","90+"))))</f>
        <v/>
      </c>
    </row>
    <row r="1027">
      <c r="A1027" t="inlineStr">
        <is>
          <t>0009028049</t>
        </is>
      </c>
      <c r="B1027" t="inlineStr">
        <is>
          <t>0000100587</t>
        </is>
      </c>
      <c r="C1027" s="3" t="n">
        <v>45980</v>
      </c>
      <c r="D1027" s="3" t="n">
        <v>46040</v>
      </c>
      <c r="E1027" s="4" t="n">
        <v>598.47</v>
      </c>
      <c r="F1027">
        <f>Summary!$B$3-D1027</f>
        <v/>
      </c>
      <c r="G1027">
        <f>IF(D1027&gt;Summary!$B$3,"Current",IF(F1027&lt;=30,"0-30",IF(F1027&lt;=60,"31-60",IF(F1027&lt;=90,"61-90","90+"))))</f>
        <v/>
      </c>
    </row>
    <row r="1028">
      <c r="A1028" t="inlineStr">
        <is>
          <t>0009028050</t>
        </is>
      </c>
      <c r="B1028" t="inlineStr">
        <is>
          <t>0000100258</t>
        </is>
      </c>
      <c r="C1028" s="3" t="n">
        <v>45977</v>
      </c>
      <c r="D1028" s="3" t="n">
        <v>46007</v>
      </c>
      <c r="E1028" s="4" t="n">
        <v>5778.32</v>
      </c>
      <c r="F1028">
        <f>Summary!$B$3-D1028</f>
        <v/>
      </c>
      <c r="G1028">
        <f>IF(D1028&gt;Summary!$B$3,"Current",IF(F1028&lt;=30,"0-30",IF(F1028&lt;=60,"31-60",IF(F1028&lt;=90,"61-90","90+"))))</f>
        <v/>
      </c>
    </row>
    <row r="1029">
      <c r="A1029" t="inlineStr">
        <is>
          <t>0009028051</t>
        </is>
      </c>
      <c r="B1029" t="inlineStr">
        <is>
          <t>0000100516</t>
        </is>
      </c>
      <c r="C1029" s="3" t="n">
        <v>45973</v>
      </c>
      <c r="D1029" s="3" t="n">
        <v>46003</v>
      </c>
      <c r="E1029" s="4" t="n">
        <v>511.89</v>
      </c>
      <c r="F1029">
        <f>Summary!$B$3-D1029</f>
        <v/>
      </c>
      <c r="G1029">
        <f>IF(D1029&gt;Summary!$B$3,"Current",IF(F1029&lt;=30,"0-30",IF(F1029&lt;=60,"31-60",IF(F1029&lt;=90,"61-90","90+"))))</f>
        <v/>
      </c>
    </row>
    <row r="1030">
      <c r="A1030" t="inlineStr">
        <is>
          <t>0009028052</t>
        </is>
      </c>
      <c r="B1030" t="inlineStr">
        <is>
          <t>0000100021</t>
        </is>
      </c>
      <c r="C1030" s="3" t="n">
        <v>45982</v>
      </c>
      <c r="D1030" s="3" t="n">
        <v>46012</v>
      </c>
      <c r="E1030" s="4" t="n">
        <v>266.85</v>
      </c>
      <c r="F1030">
        <f>Summary!$B$3-D1030</f>
        <v/>
      </c>
      <c r="G1030">
        <f>IF(D1030&gt;Summary!$B$3,"Current",IF(F1030&lt;=30,"0-30",IF(F1030&lt;=60,"31-60",IF(F1030&lt;=90,"61-90","90+"))))</f>
        <v/>
      </c>
    </row>
    <row r="1031">
      <c r="A1031" t="inlineStr">
        <is>
          <t>0009028053</t>
        </is>
      </c>
      <c r="B1031" t="inlineStr">
        <is>
          <t>0000100002</t>
        </is>
      </c>
      <c r="C1031" s="3" t="n">
        <v>45977</v>
      </c>
      <c r="D1031" s="3" t="n">
        <v>46037</v>
      </c>
      <c r="E1031" s="4" t="n">
        <v>2944.52</v>
      </c>
      <c r="F1031">
        <f>Summary!$B$3-D1031</f>
        <v/>
      </c>
      <c r="G1031">
        <f>IF(D1031&gt;Summary!$B$3,"Current",IF(F1031&lt;=30,"0-30",IF(F1031&lt;=60,"31-60",IF(F1031&lt;=90,"61-90","90+"))))</f>
        <v/>
      </c>
    </row>
    <row r="1032">
      <c r="A1032" t="inlineStr">
        <is>
          <t>0009028055</t>
        </is>
      </c>
      <c r="B1032" t="inlineStr">
        <is>
          <t>0000100416</t>
        </is>
      </c>
      <c r="C1032" s="3" t="n">
        <v>45978</v>
      </c>
      <c r="D1032" s="3" t="n">
        <v>46023</v>
      </c>
      <c r="E1032" s="4" t="n">
        <v>413.28</v>
      </c>
      <c r="F1032">
        <f>Summary!$B$3-D1032</f>
        <v/>
      </c>
      <c r="G1032">
        <f>IF(D1032&gt;Summary!$B$3,"Current",IF(F1032&lt;=30,"0-30",IF(F1032&lt;=60,"31-60",IF(F1032&lt;=90,"61-90","90+"))))</f>
        <v/>
      </c>
    </row>
    <row r="1033">
      <c r="A1033" t="inlineStr">
        <is>
          <t>0009028058</t>
        </is>
      </c>
      <c r="B1033" t="inlineStr">
        <is>
          <t>0000100106</t>
        </is>
      </c>
      <c r="C1033" s="3" t="n">
        <v>45978</v>
      </c>
      <c r="D1033" s="3" t="n">
        <v>46023</v>
      </c>
      <c r="E1033" s="4" t="n">
        <v>523.4400000000001</v>
      </c>
      <c r="F1033">
        <f>Summary!$B$3-D1033</f>
        <v/>
      </c>
      <c r="G1033">
        <f>IF(D1033&gt;Summary!$B$3,"Current",IF(F1033&lt;=30,"0-30",IF(F1033&lt;=60,"31-60",IF(F1033&lt;=90,"61-90","90+"))))</f>
        <v/>
      </c>
    </row>
    <row r="1034">
      <c r="A1034" t="inlineStr">
        <is>
          <t>0009028060</t>
        </is>
      </c>
      <c r="B1034" t="inlineStr">
        <is>
          <t>0000100576</t>
        </is>
      </c>
      <c r="C1034" s="3" t="n">
        <v>45974</v>
      </c>
      <c r="D1034" s="3" t="n">
        <v>46004</v>
      </c>
      <c r="E1034" s="4" t="n">
        <v>2776.91</v>
      </c>
      <c r="F1034">
        <f>Summary!$B$3-D1034</f>
        <v/>
      </c>
      <c r="G1034">
        <f>IF(D1034&gt;Summary!$B$3,"Current",IF(F1034&lt;=30,"0-30",IF(F1034&lt;=60,"31-60",IF(F1034&lt;=90,"61-90","90+"))))</f>
        <v/>
      </c>
    </row>
    <row r="1035">
      <c r="A1035" t="inlineStr">
        <is>
          <t>0009028061</t>
        </is>
      </c>
      <c r="B1035" t="inlineStr">
        <is>
          <t>0000100058</t>
        </is>
      </c>
      <c r="C1035" s="3" t="n">
        <v>45977</v>
      </c>
      <c r="D1035" s="3" t="n">
        <v>46022</v>
      </c>
      <c r="E1035" s="4" t="n">
        <v>2264.01</v>
      </c>
      <c r="F1035">
        <f>Summary!$B$3-D1035</f>
        <v/>
      </c>
      <c r="G1035">
        <f>IF(D1035&gt;Summary!$B$3,"Current",IF(F1035&lt;=30,"0-30",IF(F1035&lt;=60,"31-60",IF(F1035&lt;=90,"61-90","90+"))))</f>
        <v/>
      </c>
    </row>
    <row r="1036">
      <c r="A1036" t="inlineStr">
        <is>
          <t>0009028063</t>
        </is>
      </c>
      <c r="B1036" t="inlineStr">
        <is>
          <t>0000100589</t>
        </is>
      </c>
      <c r="C1036" s="3" t="n">
        <v>45978</v>
      </c>
      <c r="D1036" s="3" t="n">
        <v>46023</v>
      </c>
      <c r="E1036" s="4" t="n">
        <v>976.55</v>
      </c>
      <c r="F1036">
        <f>Summary!$B$3-D1036</f>
        <v/>
      </c>
      <c r="G1036">
        <f>IF(D1036&gt;Summary!$B$3,"Current",IF(F1036&lt;=30,"0-30",IF(F1036&lt;=60,"31-60",IF(F1036&lt;=90,"61-90","90+"))))</f>
        <v/>
      </c>
    </row>
    <row r="1037">
      <c r="A1037" t="inlineStr">
        <is>
          <t>0009028064</t>
        </is>
      </c>
      <c r="B1037" t="inlineStr">
        <is>
          <t>0000100063</t>
        </is>
      </c>
      <c r="C1037" s="3" t="n">
        <v>45976</v>
      </c>
      <c r="D1037" s="3" t="n">
        <v>46006</v>
      </c>
      <c r="E1037" s="4" t="n">
        <v>6053.86</v>
      </c>
      <c r="F1037">
        <f>Summary!$B$3-D1037</f>
        <v/>
      </c>
      <c r="G1037">
        <f>IF(D1037&gt;Summary!$B$3,"Current",IF(F1037&lt;=30,"0-30",IF(F1037&lt;=60,"31-60",IF(F1037&lt;=90,"61-90","90+"))))</f>
        <v/>
      </c>
    </row>
    <row r="1038">
      <c r="A1038" t="inlineStr">
        <is>
          <t>0009028065</t>
        </is>
      </c>
      <c r="B1038" t="inlineStr">
        <is>
          <t>0000100525</t>
        </is>
      </c>
      <c r="C1038" s="3" t="n">
        <v>45976</v>
      </c>
      <c r="D1038" s="3" t="n">
        <v>46021</v>
      </c>
      <c r="E1038" s="4" t="n">
        <v>1986.64</v>
      </c>
      <c r="F1038">
        <f>Summary!$B$3-D1038</f>
        <v/>
      </c>
      <c r="G1038">
        <f>IF(D1038&gt;Summary!$B$3,"Current",IF(F1038&lt;=30,"0-30",IF(F1038&lt;=60,"31-60",IF(F1038&lt;=90,"61-90","90+"))))</f>
        <v/>
      </c>
    </row>
    <row r="1039">
      <c r="A1039" t="inlineStr">
        <is>
          <t>0009028066</t>
        </is>
      </c>
      <c r="B1039" t="inlineStr">
        <is>
          <t>0000100456</t>
        </is>
      </c>
      <c r="C1039" s="3" t="n">
        <v>45974</v>
      </c>
      <c r="D1039" s="3" t="n">
        <v>46034</v>
      </c>
      <c r="E1039" s="4" t="n">
        <v>296.53</v>
      </c>
      <c r="F1039">
        <f>Summary!$B$3-D1039</f>
        <v/>
      </c>
      <c r="G1039">
        <f>IF(D1039&gt;Summary!$B$3,"Current",IF(F1039&lt;=30,"0-30",IF(F1039&lt;=60,"31-60",IF(F1039&lt;=90,"61-90","90+"))))</f>
        <v/>
      </c>
    </row>
    <row r="1040">
      <c r="A1040" t="inlineStr">
        <is>
          <t>0009028067</t>
        </is>
      </c>
      <c r="B1040" t="inlineStr">
        <is>
          <t>0000100522</t>
        </is>
      </c>
      <c r="C1040" s="3" t="n">
        <v>45975</v>
      </c>
      <c r="D1040" s="3" t="n">
        <v>46035</v>
      </c>
      <c r="E1040" s="4" t="n">
        <v>1206.6</v>
      </c>
      <c r="F1040">
        <f>Summary!$B$3-D1040</f>
        <v/>
      </c>
      <c r="G1040">
        <f>IF(D1040&gt;Summary!$B$3,"Current",IF(F1040&lt;=30,"0-30",IF(F1040&lt;=60,"31-60",IF(F1040&lt;=90,"61-90","90+"))))</f>
        <v/>
      </c>
    </row>
    <row r="1041">
      <c r="A1041" t="inlineStr">
        <is>
          <t>0009028070</t>
        </is>
      </c>
      <c r="B1041" t="inlineStr">
        <is>
          <t>0000100484</t>
        </is>
      </c>
      <c r="C1041" s="3" t="n">
        <v>45976</v>
      </c>
      <c r="D1041" s="3" t="n">
        <v>46036</v>
      </c>
      <c r="E1041" s="4" t="n">
        <v>2163.2</v>
      </c>
      <c r="F1041">
        <f>Summary!$B$3-D1041</f>
        <v/>
      </c>
      <c r="G1041">
        <f>IF(D1041&gt;Summary!$B$3,"Current",IF(F1041&lt;=30,"0-30",IF(F1041&lt;=60,"31-60",IF(F1041&lt;=90,"61-90","90+"))))</f>
        <v/>
      </c>
    </row>
    <row r="1042">
      <c r="A1042" t="inlineStr">
        <is>
          <t>0009028074</t>
        </is>
      </c>
      <c r="B1042" t="inlineStr">
        <is>
          <t>0000100346</t>
        </is>
      </c>
      <c r="C1042" s="3" t="n">
        <v>45977</v>
      </c>
      <c r="D1042" s="3" t="n">
        <v>46022</v>
      </c>
      <c r="E1042" s="4" t="n">
        <v>2167.57</v>
      </c>
      <c r="F1042">
        <f>Summary!$B$3-D1042</f>
        <v/>
      </c>
      <c r="G1042">
        <f>IF(D1042&gt;Summary!$B$3,"Current",IF(F1042&lt;=30,"0-30",IF(F1042&lt;=60,"31-60",IF(F1042&lt;=90,"61-90","90+"))))</f>
        <v/>
      </c>
    </row>
    <row r="1043">
      <c r="A1043" t="inlineStr">
        <is>
          <t>0009028076</t>
        </is>
      </c>
      <c r="B1043" t="inlineStr">
        <is>
          <t>0000100441</t>
        </is>
      </c>
      <c r="C1043" s="3" t="n">
        <v>45979</v>
      </c>
      <c r="D1043" s="3" t="n">
        <v>46024</v>
      </c>
      <c r="E1043" s="4" t="n">
        <v>67.98999999999999</v>
      </c>
      <c r="F1043">
        <f>Summary!$B$3-D1043</f>
        <v/>
      </c>
      <c r="G1043">
        <f>IF(D1043&gt;Summary!$B$3,"Current",IF(F1043&lt;=30,"0-30",IF(F1043&lt;=60,"31-60",IF(F1043&lt;=90,"61-90","90+"))))</f>
        <v/>
      </c>
    </row>
    <row r="1044">
      <c r="A1044" t="inlineStr">
        <is>
          <t>0009028081</t>
        </is>
      </c>
      <c r="B1044" t="inlineStr">
        <is>
          <t>0000100416</t>
        </is>
      </c>
      <c r="C1044" s="3" t="n">
        <v>45978</v>
      </c>
      <c r="D1044" s="3" t="n">
        <v>46023</v>
      </c>
      <c r="E1044" s="4" t="n">
        <v>155.05</v>
      </c>
      <c r="F1044">
        <f>Summary!$B$3-D1044</f>
        <v/>
      </c>
      <c r="G1044">
        <f>IF(D1044&gt;Summary!$B$3,"Current",IF(F1044&lt;=30,"0-30",IF(F1044&lt;=60,"31-60",IF(F1044&lt;=90,"61-90","90+"))))</f>
        <v/>
      </c>
    </row>
    <row r="1045">
      <c r="A1045" t="inlineStr">
        <is>
          <t>0009028084</t>
        </is>
      </c>
      <c r="B1045" t="inlineStr">
        <is>
          <t>0000100268</t>
        </is>
      </c>
      <c r="C1045" s="3" t="n">
        <v>45974</v>
      </c>
      <c r="D1045" s="3" t="n">
        <v>46004</v>
      </c>
      <c r="E1045" s="4" t="n">
        <v>448.29</v>
      </c>
      <c r="F1045">
        <f>Summary!$B$3-D1045</f>
        <v/>
      </c>
      <c r="G1045">
        <f>IF(D1045&gt;Summary!$B$3,"Current",IF(F1045&lt;=30,"0-30",IF(F1045&lt;=60,"31-60",IF(F1045&lt;=90,"61-90","90+"))))</f>
        <v/>
      </c>
    </row>
    <row r="1046">
      <c r="A1046" t="inlineStr">
        <is>
          <t>0009028085</t>
        </is>
      </c>
      <c r="B1046" t="inlineStr">
        <is>
          <t>0000100002</t>
        </is>
      </c>
      <c r="C1046" s="3" t="n">
        <v>45974</v>
      </c>
      <c r="D1046" s="3" t="n">
        <v>46034</v>
      </c>
      <c r="E1046" s="4" t="n">
        <v>512.1900000000001</v>
      </c>
      <c r="F1046">
        <f>Summary!$B$3-D1046</f>
        <v/>
      </c>
      <c r="G1046">
        <f>IF(D1046&gt;Summary!$B$3,"Current",IF(F1046&lt;=30,"0-30",IF(F1046&lt;=60,"31-60",IF(F1046&lt;=90,"61-90","90+"))))</f>
        <v/>
      </c>
    </row>
    <row r="1047">
      <c r="A1047" t="inlineStr">
        <is>
          <t>0009028089</t>
        </is>
      </c>
      <c r="B1047" t="inlineStr">
        <is>
          <t>0000100589</t>
        </is>
      </c>
      <c r="C1047" s="3" t="n">
        <v>45976</v>
      </c>
      <c r="D1047" s="3" t="n">
        <v>46021</v>
      </c>
      <c r="E1047" s="4" t="n">
        <v>507.78</v>
      </c>
      <c r="F1047">
        <f>Summary!$B$3-D1047</f>
        <v/>
      </c>
      <c r="G1047">
        <f>IF(D1047&gt;Summary!$B$3,"Current",IF(F1047&lt;=30,"0-30",IF(F1047&lt;=60,"31-60",IF(F1047&lt;=90,"61-90","90+"))))</f>
        <v/>
      </c>
    </row>
    <row r="1048">
      <c r="A1048" t="inlineStr">
        <is>
          <t>0009028090</t>
        </is>
      </c>
      <c r="B1048" t="inlineStr">
        <is>
          <t>0000100278</t>
        </is>
      </c>
      <c r="C1048" s="3" t="n">
        <v>45978</v>
      </c>
      <c r="D1048" s="3" t="n">
        <v>46023</v>
      </c>
      <c r="E1048" s="4" t="n">
        <v>134.44</v>
      </c>
      <c r="F1048">
        <f>Summary!$B$3-D1048</f>
        <v/>
      </c>
      <c r="G1048">
        <f>IF(D1048&gt;Summary!$B$3,"Current",IF(F1048&lt;=30,"0-30",IF(F1048&lt;=60,"31-60",IF(F1048&lt;=90,"61-90","90+"))))</f>
        <v/>
      </c>
    </row>
    <row r="1049">
      <c r="A1049" t="inlineStr">
        <is>
          <t>0009028092</t>
        </is>
      </c>
      <c r="B1049" t="inlineStr">
        <is>
          <t>0000100056</t>
        </is>
      </c>
      <c r="C1049" s="3" t="n">
        <v>45971</v>
      </c>
      <c r="D1049" s="3" t="n">
        <v>46031</v>
      </c>
      <c r="E1049" s="4" t="n">
        <v>1069.5</v>
      </c>
      <c r="F1049">
        <f>Summary!$B$3-D1049</f>
        <v/>
      </c>
      <c r="G1049">
        <f>IF(D1049&gt;Summary!$B$3,"Current",IF(F1049&lt;=30,"0-30",IF(F1049&lt;=60,"31-60",IF(F1049&lt;=90,"61-90","90+"))))</f>
        <v/>
      </c>
    </row>
    <row r="1050">
      <c r="A1050" t="inlineStr">
        <is>
          <t>0009028095</t>
        </is>
      </c>
      <c r="B1050" t="inlineStr">
        <is>
          <t>0000100416</t>
        </is>
      </c>
      <c r="C1050" s="3" t="n">
        <v>45974</v>
      </c>
      <c r="D1050" s="3" t="n">
        <v>46019</v>
      </c>
      <c r="E1050" s="4" t="n">
        <v>3551.84</v>
      </c>
      <c r="F1050">
        <f>Summary!$B$3-D1050</f>
        <v/>
      </c>
      <c r="G1050">
        <f>IF(D1050&gt;Summary!$B$3,"Current",IF(F1050&lt;=30,"0-30",IF(F1050&lt;=60,"31-60",IF(F1050&lt;=90,"61-90","90+"))))</f>
        <v/>
      </c>
    </row>
    <row r="1051">
      <c r="A1051" t="inlineStr">
        <is>
          <t>0009028098</t>
        </is>
      </c>
      <c r="B1051" t="inlineStr">
        <is>
          <t>0000100348</t>
        </is>
      </c>
      <c r="C1051" s="3" t="n">
        <v>45975</v>
      </c>
      <c r="D1051" s="3" t="n">
        <v>46035</v>
      </c>
      <c r="E1051" s="4" t="n">
        <v>1404.18</v>
      </c>
      <c r="F1051">
        <f>Summary!$B$3-D1051</f>
        <v/>
      </c>
      <c r="G1051">
        <f>IF(D1051&gt;Summary!$B$3,"Current",IF(F1051&lt;=30,"0-30",IF(F1051&lt;=60,"31-60",IF(F1051&lt;=90,"61-90","90+"))))</f>
        <v/>
      </c>
    </row>
    <row r="1052">
      <c r="A1052" t="inlineStr">
        <is>
          <t>0009028099</t>
        </is>
      </c>
      <c r="B1052" t="inlineStr">
        <is>
          <t>0000100539</t>
        </is>
      </c>
      <c r="C1052" s="3" t="n">
        <v>45973</v>
      </c>
      <c r="D1052" s="3" t="n">
        <v>46018</v>
      </c>
      <c r="E1052" s="4" t="n">
        <v>2055.52</v>
      </c>
      <c r="F1052">
        <f>Summary!$B$3-D1052</f>
        <v/>
      </c>
      <c r="G1052">
        <f>IF(D1052&gt;Summary!$B$3,"Current",IF(F1052&lt;=30,"0-30",IF(F1052&lt;=60,"31-60",IF(F1052&lt;=90,"61-90","90+"))))</f>
        <v/>
      </c>
    </row>
    <row r="1053">
      <c r="A1053" t="inlineStr">
        <is>
          <t>0009028101</t>
        </is>
      </c>
      <c r="B1053" t="inlineStr">
        <is>
          <t>0000100260</t>
        </is>
      </c>
      <c r="C1053" s="3" t="n">
        <v>45978</v>
      </c>
      <c r="D1053" s="3" t="n">
        <v>46023</v>
      </c>
      <c r="E1053" s="4" t="n">
        <v>827.67</v>
      </c>
      <c r="F1053">
        <f>Summary!$B$3-D1053</f>
        <v/>
      </c>
      <c r="G1053">
        <f>IF(D1053&gt;Summary!$B$3,"Current",IF(F1053&lt;=30,"0-30",IF(F1053&lt;=60,"31-60",IF(F1053&lt;=90,"61-90","90+"))))</f>
        <v/>
      </c>
    </row>
    <row r="1054">
      <c r="A1054" t="inlineStr">
        <is>
          <t>0009028104</t>
        </is>
      </c>
      <c r="B1054" t="inlineStr">
        <is>
          <t>0000100450</t>
        </is>
      </c>
      <c r="C1054" s="3" t="n">
        <v>45973</v>
      </c>
      <c r="D1054" s="3" t="n">
        <v>46018</v>
      </c>
      <c r="E1054" s="4" t="n">
        <v>358.02</v>
      </c>
      <c r="F1054">
        <f>Summary!$B$3-D1054</f>
        <v/>
      </c>
      <c r="G1054">
        <f>IF(D1054&gt;Summary!$B$3,"Current",IF(F1054&lt;=30,"0-30",IF(F1054&lt;=60,"31-60",IF(F1054&lt;=90,"61-90","90+"))))</f>
        <v/>
      </c>
    </row>
    <row r="1055">
      <c r="A1055" t="inlineStr">
        <is>
          <t>0009028105</t>
        </is>
      </c>
      <c r="B1055" t="inlineStr">
        <is>
          <t>0000100116</t>
        </is>
      </c>
      <c r="C1055" s="3" t="n">
        <v>45977</v>
      </c>
      <c r="D1055" s="3" t="n">
        <v>46022</v>
      </c>
      <c r="E1055" s="4" t="n">
        <v>442.78</v>
      </c>
      <c r="F1055">
        <f>Summary!$B$3-D1055</f>
        <v/>
      </c>
      <c r="G1055">
        <f>IF(D1055&gt;Summary!$B$3,"Current",IF(F1055&lt;=30,"0-30",IF(F1055&lt;=60,"31-60",IF(F1055&lt;=90,"61-90","90+"))))</f>
        <v/>
      </c>
    </row>
    <row r="1056">
      <c r="A1056" t="inlineStr">
        <is>
          <t>0009028106</t>
        </is>
      </c>
      <c r="B1056" t="inlineStr">
        <is>
          <t>0000100149</t>
        </is>
      </c>
      <c r="C1056" s="3" t="n">
        <v>45974</v>
      </c>
      <c r="D1056" s="3" t="n">
        <v>46034</v>
      </c>
      <c r="E1056" s="4" t="n">
        <v>656.08</v>
      </c>
      <c r="F1056">
        <f>Summary!$B$3-D1056</f>
        <v/>
      </c>
      <c r="G1056">
        <f>IF(D1056&gt;Summary!$B$3,"Current",IF(F1056&lt;=30,"0-30",IF(F1056&lt;=60,"31-60",IF(F1056&lt;=90,"61-90","90+"))))</f>
        <v/>
      </c>
    </row>
    <row r="1057">
      <c r="A1057" t="inlineStr">
        <is>
          <t>0009028110</t>
        </is>
      </c>
      <c r="B1057" t="inlineStr">
        <is>
          <t>0000100097</t>
        </is>
      </c>
      <c r="C1057" s="3" t="n">
        <v>45978</v>
      </c>
      <c r="D1057" s="3" t="n">
        <v>46023</v>
      </c>
      <c r="E1057" s="4" t="n">
        <v>1546.24</v>
      </c>
      <c r="F1057">
        <f>Summary!$B$3-D1057</f>
        <v/>
      </c>
      <c r="G1057">
        <f>IF(D1057&gt;Summary!$B$3,"Current",IF(F1057&lt;=30,"0-30",IF(F1057&lt;=60,"31-60",IF(F1057&lt;=90,"61-90","90+"))))</f>
        <v/>
      </c>
    </row>
    <row r="1058">
      <c r="A1058" t="inlineStr">
        <is>
          <t>0009028112</t>
        </is>
      </c>
      <c r="B1058" t="inlineStr">
        <is>
          <t>0000100112</t>
        </is>
      </c>
      <c r="C1058" s="3" t="n">
        <v>45972</v>
      </c>
      <c r="D1058" s="3" t="n">
        <v>46032</v>
      </c>
      <c r="E1058" s="4" t="n">
        <v>2331.81</v>
      </c>
      <c r="F1058">
        <f>Summary!$B$3-D1058</f>
        <v/>
      </c>
      <c r="G1058">
        <f>IF(D1058&gt;Summary!$B$3,"Current",IF(F1058&lt;=30,"0-30",IF(F1058&lt;=60,"31-60",IF(F1058&lt;=90,"61-90","90+"))))</f>
        <v/>
      </c>
    </row>
    <row r="1059">
      <c r="A1059" t="inlineStr">
        <is>
          <t>0009028113</t>
        </is>
      </c>
      <c r="B1059" t="inlineStr">
        <is>
          <t>0000100326</t>
        </is>
      </c>
      <c r="C1059" s="3" t="n">
        <v>45978</v>
      </c>
      <c r="D1059" s="3" t="n">
        <v>46008</v>
      </c>
      <c r="E1059" s="4" t="n">
        <v>1070.56</v>
      </c>
      <c r="F1059">
        <f>Summary!$B$3-D1059</f>
        <v/>
      </c>
      <c r="G1059">
        <f>IF(D1059&gt;Summary!$B$3,"Current",IF(F1059&lt;=30,"0-30",IF(F1059&lt;=60,"31-60",IF(F1059&lt;=90,"61-90","90+"))))</f>
        <v/>
      </c>
    </row>
    <row r="1060">
      <c r="A1060" t="inlineStr">
        <is>
          <t>0009028114</t>
        </is>
      </c>
      <c r="B1060" t="inlineStr">
        <is>
          <t>0000100356</t>
        </is>
      </c>
      <c r="C1060" s="3" t="n">
        <v>45979</v>
      </c>
      <c r="D1060" s="3" t="n">
        <v>46024</v>
      </c>
      <c r="E1060" s="4" t="n">
        <v>440.3</v>
      </c>
      <c r="F1060">
        <f>Summary!$B$3-D1060</f>
        <v/>
      </c>
      <c r="G1060">
        <f>IF(D1060&gt;Summary!$B$3,"Current",IF(F1060&lt;=30,"0-30",IF(F1060&lt;=60,"31-60",IF(F1060&lt;=90,"61-90","90+"))))</f>
        <v/>
      </c>
    </row>
    <row r="1061">
      <c r="A1061" t="inlineStr">
        <is>
          <t>0009028118</t>
        </is>
      </c>
      <c r="B1061" t="inlineStr">
        <is>
          <t>0000100114</t>
        </is>
      </c>
      <c r="C1061" s="3" t="n">
        <v>45983</v>
      </c>
      <c r="D1061" s="3" t="n">
        <v>46028</v>
      </c>
      <c r="E1061" s="4" t="n">
        <v>866.04</v>
      </c>
      <c r="F1061">
        <f>Summary!$B$3-D1061</f>
        <v/>
      </c>
      <c r="G1061">
        <f>IF(D1061&gt;Summary!$B$3,"Current",IF(F1061&lt;=30,"0-30",IF(F1061&lt;=60,"31-60",IF(F1061&lt;=90,"61-90","90+"))))</f>
        <v/>
      </c>
    </row>
    <row r="1062">
      <c r="A1062" t="inlineStr">
        <is>
          <t>0009028119</t>
        </is>
      </c>
      <c r="B1062" t="inlineStr">
        <is>
          <t>0000100169</t>
        </is>
      </c>
      <c r="C1062" s="3" t="n">
        <v>45979</v>
      </c>
      <c r="D1062" s="3" t="n">
        <v>46024</v>
      </c>
      <c r="E1062" s="4" t="n">
        <v>723.96</v>
      </c>
      <c r="F1062">
        <f>Summary!$B$3-D1062</f>
        <v/>
      </c>
      <c r="G1062">
        <f>IF(D1062&gt;Summary!$B$3,"Current",IF(F1062&lt;=30,"0-30",IF(F1062&lt;=60,"31-60",IF(F1062&lt;=90,"61-90","90+"))))</f>
        <v/>
      </c>
    </row>
    <row r="1063">
      <c r="A1063" t="inlineStr">
        <is>
          <t>0009028121</t>
        </is>
      </c>
      <c r="B1063" t="inlineStr">
        <is>
          <t>0000100226</t>
        </is>
      </c>
      <c r="C1063" s="3" t="n">
        <v>45977</v>
      </c>
      <c r="D1063" s="3" t="n">
        <v>46022</v>
      </c>
      <c r="E1063" s="4" t="n">
        <v>216.72</v>
      </c>
      <c r="F1063">
        <f>Summary!$B$3-D1063</f>
        <v/>
      </c>
      <c r="G1063">
        <f>IF(D1063&gt;Summary!$B$3,"Current",IF(F1063&lt;=30,"0-30",IF(F1063&lt;=60,"31-60",IF(F1063&lt;=90,"61-90","90+"))))</f>
        <v/>
      </c>
    </row>
    <row r="1064">
      <c r="A1064" t="inlineStr">
        <is>
          <t>0009028122</t>
        </is>
      </c>
      <c r="B1064" t="inlineStr">
        <is>
          <t>0000100253</t>
        </is>
      </c>
      <c r="C1064" s="3" t="n">
        <v>45978</v>
      </c>
      <c r="D1064" s="3" t="n">
        <v>46038</v>
      </c>
      <c r="E1064" s="4" t="n">
        <v>1685.58</v>
      </c>
      <c r="F1064">
        <f>Summary!$B$3-D1064</f>
        <v/>
      </c>
      <c r="G1064">
        <f>IF(D1064&gt;Summary!$B$3,"Current",IF(F1064&lt;=30,"0-30",IF(F1064&lt;=60,"31-60",IF(F1064&lt;=90,"61-90","90+"))))</f>
        <v/>
      </c>
    </row>
    <row r="1065">
      <c r="A1065" t="inlineStr">
        <is>
          <t>0009028123</t>
        </is>
      </c>
      <c r="B1065" t="inlineStr">
        <is>
          <t>0000100051</t>
        </is>
      </c>
      <c r="C1065" s="3" t="n">
        <v>45974</v>
      </c>
      <c r="D1065" s="3" t="n">
        <v>46034</v>
      </c>
      <c r="E1065" s="4" t="n">
        <v>1078.68</v>
      </c>
      <c r="F1065">
        <f>Summary!$B$3-D1065</f>
        <v/>
      </c>
      <c r="G1065">
        <f>IF(D1065&gt;Summary!$B$3,"Current",IF(F1065&lt;=30,"0-30",IF(F1065&lt;=60,"31-60",IF(F1065&lt;=90,"61-90","90+"))))</f>
        <v/>
      </c>
    </row>
    <row r="1066">
      <c r="A1066" t="inlineStr">
        <is>
          <t>0009028124</t>
        </is>
      </c>
      <c r="B1066" t="inlineStr">
        <is>
          <t>0000100097</t>
        </is>
      </c>
      <c r="C1066" s="3" t="n">
        <v>45980</v>
      </c>
      <c r="D1066" s="3" t="n">
        <v>46025</v>
      </c>
      <c r="E1066" s="4" t="n">
        <v>354.74</v>
      </c>
      <c r="F1066">
        <f>Summary!$B$3-D1066</f>
        <v/>
      </c>
      <c r="G1066">
        <f>IF(D1066&gt;Summary!$B$3,"Current",IF(F1066&lt;=30,"0-30",IF(F1066&lt;=60,"31-60",IF(F1066&lt;=90,"61-90","90+"))))</f>
        <v/>
      </c>
    </row>
    <row r="1067">
      <c r="A1067" t="inlineStr">
        <is>
          <t>0009028126</t>
        </is>
      </c>
      <c r="B1067" t="inlineStr">
        <is>
          <t>0000100105</t>
        </is>
      </c>
      <c r="C1067" s="3" t="n">
        <v>45975</v>
      </c>
      <c r="D1067" s="3" t="n">
        <v>46020</v>
      </c>
      <c r="E1067" s="4" t="n">
        <v>304.93</v>
      </c>
      <c r="F1067">
        <f>Summary!$B$3-D1067</f>
        <v/>
      </c>
      <c r="G1067">
        <f>IF(D1067&gt;Summary!$B$3,"Current",IF(F1067&lt;=30,"0-30",IF(F1067&lt;=60,"31-60",IF(F1067&lt;=90,"61-90","90+"))))</f>
        <v/>
      </c>
    </row>
    <row r="1068">
      <c r="A1068" t="inlineStr">
        <is>
          <t>0009028127</t>
        </is>
      </c>
      <c r="B1068" t="inlineStr">
        <is>
          <t>0000100106</t>
        </is>
      </c>
      <c r="C1068" s="3" t="n">
        <v>45974</v>
      </c>
      <c r="D1068" s="3" t="n">
        <v>46019</v>
      </c>
      <c r="E1068" s="4" t="n">
        <v>1168.12</v>
      </c>
      <c r="F1068">
        <f>Summary!$B$3-D1068</f>
        <v/>
      </c>
      <c r="G1068">
        <f>IF(D1068&gt;Summary!$B$3,"Current",IF(F1068&lt;=30,"0-30",IF(F1068&lt;=60,"31-60",IF(F1068&lt;=90,"61-90","90+"))))</f>
        <v/>
      </c>
    </row>
    <row r="1069">
      <c r="A1069" t="inlineStr">
        <is>
          <t>0009028128</t>
        </is>
      </c>
      <c r="B1069" t="inlineStr">
        <is>
          <t>0000100576</t>
        </is>
      </c>
      <c r="C1069" s="3" t="n">
        <v>45977</v>
      </c>
      <c r="D1069" s="3" t="n">
        <v>46007</v>
      </c>
      <c r="E1069" s="4" t="n">
        <v>318.25</v>
      </c>
      <c r="F1069">
        <f>Summary!$B$3-D1069</f>
        <v/>
      </c>
      <c r="G1069">
        <f>IF(D1069&gt;Summary!$B$3,"Current",IF(F1069&lt;=30,"0-30",IF(F1069&lt;=60,"31-60",IF(F1069&lt;=90,"61-90","90+"))))</f>
        <v/>
      </c>
    </row>
    <row r="1070">
      <c r="A1070" t="inlineStr">
        <is>
          <t>0009028129</t>
        </is>
      </c>
      <c r="B1070" t="inlineStr">
        <is>
          <t>0000100071</t>
        </is>
      </c>
      <c r="C1070" s="3" t="n">
        <v>45982</v>
      </c>
      <c r="D1070" s="3" t="n">
        <v>46027</v>
      </c>
      <c r="E1070" s="4" t="n">
        <v>843.27</v>
      </c>
      <c r="F1070">
        <f>Summary!$B$3-D1070</f>
        <v/>
      </c>
      <c r="G1070">
        <f>IF(D1070&gt;Summary!$B$3,"Current",IF(F1070&lt;=30,"0-30",IF(F1070&lt;=60,"31-60",IF(F1070&lt;=90,"61-90","90+"))))</f>
        <v/>
      </c>
    </row>
    <row r="1071">
      <c r="A1071" t="inlineStr">
        <is>
          <t>0009028130</t>
        </is>
      </c>
      <c r="B1071" t="inlineStr">
        <is>
          <t>0000100587</t>
        </is>
      </c>
      <c r="C1071" s="3" t="n">
        <v>45976</v>
      </c>
      <c r="D1071" s="3" t="n">
        <v>46036</v>
      </c>
      <c r="E1071" s="4" t="n">
        <v>537.8200000000001</v>
      </c>
      <c r="F1071">
        <f>Summary!$B$3-D1071</f>
        <v/>
      </c>
      <c r="G1071">
        <f>IF(D1071&gt;Summary!$B$3,"Current",IF(F1071&lt;=30,"0-30",IF(F1071&lt;=60,"31-60",IF(F1071&lt;=90,"61-90","90+"))))</f>
        <v/>
      </c>
    </row>
    <row r="1072">
      <c r="A1072" t="inlineStr">
        <is>
          <t>0009028132</t>
        </is>
      </c>
      <c r="B1072" t="inlineStr">
        <is>
          <t>0000100435</t>
        </is>
      </c>
      <c r="C1072" s="3" t="n">
        <v>45979</v>
      </c>
      <c r="D1072" s="3" t="n">
        <v>46024</v>
      </c>
      <c r="E1072" s="4" t="n">
        <v>1040.73</v>
      </c>
      <c r="F1072">
        <f>Summary!$B$3-D1072</f>
        <v/>
      </c>
      <c r="G1072">
        <f>IF(D1072&gt;Summary!$B$3,"Current",IF(F1072&lt;=30,"0-30",IF(F1072&lt;=60,"31-60",IF(F1072&lt;=90,"61-90","90+"))))</f>
        <v/>
      </c>
    </row>
    <row r="1073">
      <c r="A1073" t="inlineStr">
        <is>
          <t>0009028133</t>
        </is>
      </c>
      <c r="B1073" t="inlineStr">
        <is>
          <t>0000100360</t>
        </is>
      </c>
      <c r="C1073" s="3" t="n">
        <v>45984</v>
      </c>
      <c r="D1073" s="3" t="n">
        <v>46029</v>
      </c>
      <c r="E1073" s="4" t="n">
        <v>190.91</v>
      </c>
      <c r="F1073">
        <f>Summary!$B$3-D1073</f>
        <v/>
      </c>
      <c r="G1073">
        <f>IF(D1073&gt;Summary!$B$3,"Current",IF(F1073&lt;=30,"0-30",IF(F1073&lt;=60,"31-60",IF(F1073&lt;=90,"61-90","90+"))))</f>
        <v/>
      </c>
    </row>
    <row r="1074">
      <c r="A1074" t="inlineStr">
        <is>
          <t>0009028134</t>
        </is>
      </c>
      <c r="B1074" t="inlineStr">
        <is>
          <t>0000100417</t>
        </is>
      </c>
      <c r="C1074" s="3" t="n">
        <v>45978</v>
      </c>
      <c r="D1074" s="3" t="n">
        <v>46038</v>
      </c>
      <c r="E1074" s="4" t="n">
        <v>679.11</v>
      </c>
      <c r="F1074">
        <f>Summary!$B$3-D1074</f>
        <v/>
      </c>
      <c r="G1074">
        <f>IF(D1074&gt;Summary!$B$3,"Current",IF(F1074&lt;=30,"0-30",IF(F1074&lt;=60,"31-60",IF(F1074&lt;=90,"61-90","90+"))))</f>
        <v/>
      </c>
    </row>
    <row r="1075">
      <c r="A1075" t="inlineStr">
        <is>
          <t>0009028135</t>
        </is>
      </c>
      <c r="B1075" t="inlineStr">
        <is>
          <t>0000100379</t>
        </is>
      </c>
      <c r="C1075" s="3" t="n">
        <v>45972</v>
      </c>
      <c r="D1075" s="3" t="n">
        <v>46002</v>
      </c>
      <c r="E1075" s="4" t="n">
        <v>1295.55</v>
      </c>
      <c r="F1075">
        <f>Summary!$B$3-D1075</f>
        <v/>
      </c>
      <c r="G1075">
        <f>IF(D1075&gt;Summary!$B$3,"Current",IF(F1075&lt;=30,"0-30",IF(F1075&lt;=60,"31-60",IF(F1075&lt;=90,"61-90","90+"))))</f>
        <v/>
      </c>
    </row>
    <row r="1076">
      <c r="A1076" t="inlineStr">
        <is>
          <t>0009028137</t>
        </is>
      </c>
      <c r="B1076" t="inlineStr">
        <is>
          <t>0000100473</t>
        </is>
      </c>
      <c r="C1076" s="3" t="n">
        <v>45975</v>
      </c>
      <c r="D1076" s="3" t="n">
        <v>46035</v>
      </c>
      <c r="E1076" s="4" t="n">
        <v>2922.81</v>
      </c>
      <c r="F1076">
        <f>Summary!$B$3-D1076</f>
        <v/>
      </c>
      <c r="G1076">
        <f>IF(D1076&gt;Summary!$B$3,"Current",IF(F1076&lt;=30,"0-30",IF(F1076&lt;=60,"31-60",IF(F1076&lt;=90,"61-90","90+"))))</f>
        <v/>
      </c>
    </row>
    <row r="1077">
      <c r="A1077" t="inlineStr">
        <is>
          <t>0009028140</t>
        </is>
      </c>
      <c r="B1077" t="inlineStr">
        <is>
          <t>0000100355</t>
        </is>
      </c>
      <c r="C1077" s="3" t="n">
        <v>45977</v>
      </c>
      <c r="D1077" s="3" t="n">
        <v>46037</v>
      </c>
      <c r="E1077" s="4" t="n">
        <v>3450.36</v>
      </c>
      <c r="F1077">
        <f>Summary!$B$3-D1077</f>
        <v/>
      </c>
      <c r="G1077">
        <f>IF(D1077&gt;Summary!$B$3,"Current",IF(F1077&lt;=30,"0-30",IF(F1077&lt;=60,"31-60",IF(F1077&lt;=90,"61-90","90+"))))</f>
        <v/>
      </c>
    </row>
    <row r="1078">
      <c r="A1078" t="inlineStr">
        <is>
          <t>0009028141</t>
        </is>
      </c>
      <c r="B1078" t="inlineStr">
        <is>
          <t>0000100360</t>
        </is>
      </c>
      <c r="C1078" s="3" t="n">
        <v>45976</v>
      </c>
      <c r="D1078" s="3" t="n">
        <v>46021</v>
      </c>
      <c r="E1078" s="4" t="n">
        <v>1602.36</v>
      </c>
      <c r="F1078">
        <f>Summary!$B$3-D1078</f>
        <v/>
      </c>
      <c r="G1078">
        <f>IF(D1078&gt;Summary!$B$3,"Current",IF(F1078&lt;=30,"0-30",IF(F1078&lt;=60,"31-60",IF(F1078&lt;=90,"61-90","90+"))))</f>
        <v/>
      </c>
    </row>
    <row r="1079">
      <c r="A1079" t="inlineStr">
        <is>
          <t>0009028143</t>
        </is>
      </c>
      <c r="B1079" t="inlineStr">
        <is>
          <t>0000100529</t>
        </is>
      </c>
      <c r="C1079" s="3" t="n">
        <v>45978</v>
      </c>
      <c r="D1079" s="3" t="n">
        <v>46038</v>
      </c>
      <c r="E1079" s="4" t="n">
        <v>2073.56</v>
      </c>
      <c r="F1079">
        <f>Summary!$B$3-D1079</f>
        <v/>
      </c>
      <c r="G1079">
        <f>IF(D1079&gt;Summary!$B$3,"Current",IF(F1079&lt;=30,"0-30",IF(F1079&lt;=60,"31-60",IF(F1079&lt;=90,"61-90","90+"))))</f>
        <v/>
      </c>
    </row>
    <row r="1080">
      <c r="A1080" t="inlineStr">
        <is>
          <t>0009028144</t>
        </is>
      </c>
      <c r="B1080" t="inlineStr">
        <is>
          <t>0000100417</t>
        </is>
      </c>
      <c r="C1080" s="3" t="n">
        <v>45980</v>
      </c>
      <c r="D1080" s="3" t="n">
        <v>46040</v>
      </c>
      <c r="E1080" s="4" t="n">
        <v>2917.24</v>
      </c>
      <c r="F1080">
        <f>Summary!$B$3-D1080</f>
        <v/>
      </c>
      <c r="G1080">
        <f>IF(D1080&gt;Summary!$B$3,"Current",IF(F1080&lt;=30,"0-30",IF(F1080&lt;=60,"31-60",IF(F1080&lt;=90,"61-90","90+"))))</f>
        <v/>
      </c>
    </row>
    <row r="1081">
      <c r="A1081" t="inlineStr">
        <is>
          <t>0009028145</t>
        </is>
      </c>
      <c r="B1081" t="inlineStr">
        <is>
          <t>0000100052</t>
        </is>
      </c>
      <c r="C1081" s="3" t="n">
        <v>45974</v>
      </c>
      <c r="D1081" s="3" t="n">
        <v>46019</v>
      </c>
      <c r="E1081" s="4" t="n">
        <v>361.68</v>
      </c>
      <c r="F1081">
        <f>Summary!$B$3-D1081</f>
        <v/>
      </c>
      <c r="G1081">
        <f>IF(D1081&gt;Summary!$B$3,"Current",IF(F1081&lt;=30,"0-30",IF(F1081&lt;=60,"31-60",IF(F1081&lt;=90,"61-90","90+"))))</f>
        <v/>
      </c>
    </row>
    <row r="1082">
      <c r="A1082" t="inlineStr">
        <is>
          <t>0009028146</t>
        </is>
      </c>
      <c r="B1082" t="inlineStr">
        <is>
          <t>0000100114</t>
        </is>
      </c>
      <c r="C1082" s="3" t="n">
        <v>45976</v>
      </c>
      <c r="D1082" s="3" t="n">
        <v>46021</v>
      </c>
      <c r="E1082" s="4" t="n">
        <v>108.62</v>
      </c>
      <c r="F1082">
        <f>Summary!$B$3-D1082</f>
        <v/>
      </c>
      <c r="G1082">
        <f>IF(D1082&gt;Summary!$B$3,"Current",IF(F1082&lt;=30,"0-30",IF(F1082&lt;=60,"31-60",IF(F1082&lt;=90,"61-90","90+"))))</f>
        <v/>
      </c>
    </row>
    <row r="1083">
      <c r="A1083" t="inlineStr">
        <is>
          <t>0009028147</t>
        </is>
      </c>
      <c r="B1083" t="inlineStr">
        <is>
          <t>0000100024</t>
        </is>
      </c>
      <c r="C1083" s="3" t="n">
        <v>45975</v>
      </c>
      <c r="D1083" s="3" t="n">
        <v>46035</v>
      </c>
      <c r="E1083" s="4" t="n">
        <v>1345.91</v>
      </c>
      <c r="F1083">
        <f>Summary!$B$3-D1083</f>
        <v/>
      </c>
      <c r="G1083">
        <f>IF(D1083&gt;Summary!$B$3,"Current",IF(F1083&lt;=30,"0-30",IF(F1083&lt;=60,"31-60",IF(F1083&lt;=90,"61-90","90+"))))</f>
        <v/>
      </c>
    </row>
    <row r="1084">
      <c r="A1084" t="inlineStr">
        <is>
          <t>0009028149</t>
        </is>
      </c>
      <c r="B1084" t="inlineStr">
        <is>
          <t>0000100065</t>
        </is>
      </c>
      <c r="C1084" s="3" t="n">
        <v>45975</v>
      </c>
      <c r="D1084" s="3" t="n">
        <v>46020</v>
      </c>
      <c r="E1084" s="4" t="n">
        <v>702.87</v>
      </c>
      <c r="F1084">
        <f>Summary!$B$3-D1084</f>
        <v/>
      </c>
      <c r="G1084">
        <f>IF(D1084&gt;Summary!$B$3,"Current",IF(F1084&lt;=30,"0-30",IF(F1084&lt;=60,"31-60",IF(F1084&lt;=90,"61-90","90+"))))</f>
        <v/>
      </c>
    </row>
    <row r="1085">
      <c r="A1085" t="inlineStr">
        <is>
          <t>0009028151</t>
        </is>
      </c>
      <c r="B1085" t="inlineStr">
        <is>
          <t>0000100369</t>
        </is>
      </c>
      <c r="C1085" s="3" t="n">
        <v>45974</v>
      </c>
      <c r="D1085" s="3" t="n">
        <v>46004</v>
      </c>
      <c r="E1085" s="4" t="n">
        <v>1059.67</v>
      </c>
      <c r="F1085">
        <f>Summary!$B$3-D1085</f>
        <v/>
      </c>
      <c r="G1085">
        <f>IF(D1085&gt;Summary!$B$3,"Current",IF(F1085&lt;=30,"0-30",IF(F1085&lt;=60,"31-60",IF(F1085&lt;=90,"61-90","90+"))))</f>
        <v/>
      </c>
    </row>
    <row r="1086">
      <c r="A1086" t="inlineStr">
        <is>
          <t>0009028152</t>
        </is>
      </c>
      <c r="B1086" t="inlineStr">
        <is>
          <t>0000100056</t>
        </is>
      </c>
      <c r="C1086" s="3" t="n">
        <v>45978</v>
      </c>
      <c r="D1086" s="3" t="n">
        <v>46038</v>
      </c>
      <c r="E1086" s="4" t="n">
        <v>804.98</v>
      </c>
      <c r="F1086">
        <f>Summary!$B$3-D1086</f>
        <v/>
      </c>
      <c r="G1086">
        <f>IF(D1086&gt;Summary!$B$3,"Current",IF(F1086&lt;=30,"0-30",IF(F1086&lt;=60,"31-60",IF(F1086&lt;=90,"61-90","90+"))))</f>
        <v/>
      </c>
    </row>
    <row r="1087">
      <c r="A1087" t="inlineStr">
        <is>
          <t>0009028154</t>
        </is>
      </c>
      <c r="B1087" t="inlineStr">
        <is>
          <t>0000100202</t>
        </is>
      </c>
      <c r="C1087" s="3" t="n">
        <v>45977</v>
      </c>
      <c r="D1087" s="3" t="n">
        <v>46037</v>
      </c>
      <c r="E1087" s="4" t="n">
        <v>860.34</v>
      </c>
      <c r="F1087">
        <f>Summary!$B$3-D1087</f>
        <v/>
      </c>
      <c r="G1087">
        <f>IF(D1087&gt;Summary!$B$3,"Current",IF(F1087&lt;=30,"0-30",IF(F1087&lt;=60,"31-60",IF(F1087&lt;=90,"61-90","90+"))))</f>
        <v/>
      </c>
    </row>
    <row r="1088">
      <c r="A1088" t="inlineStr">
        <is>
          <t>0009028155</t>
        </is>
      </c>
      <c r="B1088" t="inlineStr">
        <is>
          <t>0000100000</t>
        </is>
      </c>
      <c r="C1088" s="3" t="n">
        <v>45980</v>
      </c>
      <c r="D1088" s="3" t="n">
        <v>46010</v>
      </c>
      <c r="E1088" s="4" t="n">
        <v>348.96</v>
      </c>
      <c r="F1088">
        <f>Summary!$B$3-D1088</f>
        <v/>
      </c>
      <c r="G1088">
        <f>IF(D1088&gt;Summary!$B$3,"Current",IF(F1088&lt;=30,"0-30",IF(F1088&lt;=60,"31-60",IF(F1088&lt;=90,"61-90","90+"))))</f>
        <v/>
      </c>
    </row>
    <row r="1089">
      <c r="A1089" t="inlineStr">
        <is>
          <t>0009028158</t>
        </is>
      </c>
      <c r="B1089" t="inlineStr">
        <is>
          <t>0000100409</t>
        </is>
      </c>
      <c r="C1089" s="3" t="n">
        <v>45977</v>
      </c>
      <c r="D1089" s="3" t="n">
        <v>46007</v>
      </c>
      <c r="E1089" s="4" t="n">
        <v>1698.73</v>
      </c>
      <c r="F1089">
        <f>Summary!$B$3-D1089</f>
        <v/>
      </c>
      <c r="G1089">
        <f>IF(D1089&gt;Summary!$B$3,"Current",IF(F1089&lt;=30,"0-30",IF(F1089&lt;=60,"31-60",IF(F1089&lt;=90,"61-90","90+"))))</f>
        <v/>
      </c>
    </row>
    <row r="1090">
      <c r="A1090" t="inlineStr">
        <is>
          <t>0009028159</t>
        </is>
      </c>
      <c r="B1090" t="inlineStr">
        <is>
          <t>0000100073</t>
        </is>
      </c>
      <c r="C1090" s="3" t="n">
        <v>45981</v>
      </c>
      <c r="D1090" s="3" t="n">
        <v>46026</v>
      </c>
      <c r="E1090" s="4" t="n">
        <v>227.61</v>
      </c>
      <c r="F1090">
        <f>Summary!$B$3-D1090</f>
        <v/>
      </c>
      <c r="G1090">
        <f>IF(D1090&gt;Summary!$B$3,"Current",IF(F1090&lt;=30,"0-30",IF(F1090&lt;=60,"31-60",IF(F1090&lt;=90,"61-90","90+"))))</f>
        <v/>
      </c>
    </row>
    <row r="1091">
      <c r="A1091" t="inlineStr">
        <is>
          <t>0009028160</t>
        </is>
      </c>
      <c r="B1091" t="inlineStr">
        <is>
          <t>0000100227</t>
        </is>
      </c>
      <c r="C1091" s="3" t="n">
        <v>45984</v>
      </c>
      <c r="D1091" s="3" t="n">
        <v>46014</v>
      </c>
      <c r="E1091" s="4" t="n">
        <v>1431.28</v>
      </c>
      <c r="F1091">
        <f>Summary!$B$3-D1091</f>
        <v/>
      </c>
      <c r="G1091">
        <f>IF(D1091&gt;Summary!$B$3,"Current",IF(F1091&lt;=30,"0-30",IF(F1091&lt;=60,"31-60",IF(F1091&lt;=90,"61-90","90+"))))</f>
        <v/>
      </c>
    </row>
    <row r="1092">
      <c r="A1092" t="inlineStr">
        <is>
          <t>0009028162</t>
        </is>
      </c>
      <c r="B1092" t="inlineStr">
        <is>
          <t>0000100416</t>
        </is>
      </c>
      <c r="C1092" s="3" t="n">
        <v>45979</v>
      </c>
      <c r="D1092" s="3" t="n">
        <v>46024</v>
      </c>
      <c r="E1092" s="4" t="n">
        <v>4688.24</v>
      </c>
      <c r="F1092">
        <f>Summary!$B$3-D1092</f>
        <v/>
      </c>
      <c r="G1092">
        <f>IF(D1092&gt;Summary!$B$3,"Current",IF(F1092&lt;=30,"0-30",IF(F1092&lt;=60,"31-60",IF(F1092&lt;=90,"61-90","90+"))))</f>
        <v/>
      </c>
    </row>
    <row r="1093">
      <c r="A1093" t="inlineStr">
        <is>
          <t>0009028167</t>
        </is>
      </c>
      <c r="B1093" t="inlineStr">
        <is>
          <t>0000100074</t>
        </is>
      </c>
      <c r="C1093" s="3" t="n">
        <v>45982</v>
      </c>
      <c r="D1093" s="3" t="n">
        <v>46027</v>
      </c>
      <c r="E1093" s="4" t="n">
        <v>4823.53</v>
      </c>
      <c r="F1093">
        <f>Summary!$B$3-D1093</f>
        <v/>
      </c>
      <c r="G1093">
        <f>IF(D1093&gt;Summary!$B$3,"Current",IF(F1093&lt;=30,"0-30",IF(F1093&lt;=60,"31-60",IF(F1093&lt;=90,"61-90","90+"))))</f>
        <v/>
      </c>
    </row>
    <row r="1094">
      <c r="A1094" t="inlineStr">
        <is>
          <t>0009028168</t>
        </is>
      </c>
      <c r="B1094" t="inlineStr">
        <is>
          <t>0000100074</t>
        </is>
      </c>
      <c r="C1094" s="3" t="n">
        <v>45976</v>
      </c>
      <c r="D1094" s="3" t="n">
        <v>46021</v>
      </c>
      <c r="E1094" s="4" t="n">
        <v>1000.63</v>
      </c>
      <c r="F1094">
        <f>Summary!$B$3-D1094</f>
        <v/>
      </c>
      <c r="G1094">
        <f>IF(D1094&gt;Summary!$B$3,"Current",IF(F1094&lt;=30,"0-30",IF(F1094&lt;=60,"31-60",IF(F1094&lt;=90,"61-90","90+"))))</f>
        <v/>
      </c>
    </row>
    <row r="1095">
      <c r="A1095" t="inlineStr">
        <is>
          <t>0009028171</t>
        </is>
      </c>
      <c r="B1095" t="inlineStr">
        <is>
          <t>0000100326</t>
        </is>
      </c>
      <c r="C1095" s="3" t="n">
        <v>45978</v>
      </c>
      <c r="D1095" s="3" t="n">
        <v>46008</v>
      </c>
      <c r="E1095" s="4" t="n">
        <v>889.42</v>
      </c>
      <c r="F1095">
        <f>Summary!$B$3-D1095</f>
        <v/>
      </c>
      <c r="G1095">
        <f>IF(D1095&gt;Summary!$B$3,"Current",IF(F1095&lt;=30,"0-30",IF(F1095&lt;=60,"31-60",IF(F1095&lt;=90,"61-90","90+"))))</f>
        <v/>
      </c>
    </row>
    <row r="1096">
      <c r="A1096" t="inlineStr">
        <is>
          <t>0009028173</t>
        </is>
      </c>
      <c r="B1096" t="inlineStr">
        <is>
          <t>0000100326</t>
        </is>
      </c>
      <c r="C1096" s="3" t="n">
        <v>45981</v>
      </c>
      <c r="D1096" s="3" t="n">
        <v>46011</v>
      </c>
      <c r="E1096" s="4" t="n">
        <v>1430.52</v>
      </c>
      <c r="F1096">
        <f>Summary!$B$3-D1096</f>
        <v/>
      </c>
      <c r="G1096">
        <f>IF(D1096&gt;Summary!$B$3,"Current",IF(F1096&lt;=30,"0-30",IF(F1096&lt;=60,"31-60",IF(F1096&lt;=90,"61-90","90+"))))</f>
        <v/>
      </c>
    </row>
    <row r="1097">
      <c r="A1097" t="inlineStr">
        <is>
          <t>0009028175</t>
        </is>
      </c>
      <c r="B1097" t="inlineStr">
        <is>
          <t>0000100169</t>
        </is>
      </c>
      <c r="C1097" s="3" t="n">
        <v>45975</v>
      </c>
      <c r="D1097" s="3" t="n">
        <v>46020</v>
      </c>
      <c r="E1097" s="4" t="n">
        <v>166.75</v>
      </c>
      <c r="F1097">
        <f>Summary!$B$3-D1097</f>
        <v/>
      </c>
      <c r="G1097">
        <f>IF(D1097&gt;Summary!$B$3,"Current",IF(F1097&lt;=30,"0-30",IF(F1097&lt;=60,"31-60",IF(F1097&lt;=90,"61-90","90+"))))</f>
        <v/>
      </c>
    </row>
    <row r="1098">
      <c r="A1098" t="inlineStr">
        <is>
          <t>0009028176</t>
        </is>
      </c>
      <c r="B1098" t="inlineStr">
        <is>
          <t>0000100348</t>
        </is>
      </c>
      <c r="C1098" s="3" t="n">
        <v>45981</v>
      </c>
      <c r="D1098" s="3" t="n">
        <v>46041</v>
      </c>
      <c r="E1098" s="4" t="n">
        <v>1595.89</v>
      </c>
      <c r="F1098">
        <f>Summary!$B$3-D1098</f>
        <v/>
      </c>
      <c r="G1098">
        <f>IF(D1098&gt;Summary!$B$3,"Current",IF(F1098&lt;=30,"0-30",IF(F1098&lt;=60,"31-60",IF(F1098&lt;=90,"61-90","90+"))))</f>
        <v/>
      </c>
    </row>
    <row r="1099">
      <c r="A1099" t="inlineStr">
        <is>
          <t>0009028180</t>
        </is>
      </c>
      <c r="B1099" t="inlineStr">
        <is>
          <t>0000100417</t>
        </is>
      </c>
      <c r="C1099" s="3" t="n">
        <v>45976</v>
      </c>
      <c r="D1099" s="3" t="n">
        <v>46036</v>
      </c>
      <c r="E1099" s="4" t="n">
        <v>312.96</v>
      </c>
      <c r="F1099">
        <f>Summary!$B$3-D1099</f>
        <v/>
      </c>
      <c r="G1099">
        <f>IF(D1099&gt;Summary!$B$3,"Current",IF(F1099&lt;=30,"0-30",IF(F1099&lt;=60,"31-60",IF(F1099&lt;=90,"61-90","90+"))))</f>
        <v/>
      </c>
    </row>
    <row r="1100">
      <c r="A1100" t="inlineStr">
        <is>
          <t>0009028183</t>
        </is>
      </c>
      <c r="B1100" t="inlineStr">
        <is>
          <t>0000100520</t>
        </is>
      </c>
      <c r="C1100" s="3" t="n">
        <v>45981</v>
      </c>
      <c r="D1100" s="3" t="n">
        <v>46026</v>
      </c>
      <c r="E1100" s="4" t="n">
        <v>38.74</v>
      </c>
      <c r="F1100">
        <f>Summary!$B$3-D1100</f>
        <v/>
      </c>
      <c r="G1100">
        <f>IF(D1100&gt;Summary!$B$3,"Current",IF(F1100&lt;=30,"0-30",IF(F1100&lt;=60,"31-60",IF(F1100&lt;=90,"61-90","90+"))))</f>
        <v/>
      </c>
    </row>
    <row r="1101">
      <c r="A1101" t="inlineStr">
        <is>
          <t>0009028188</t>
        </is>
      </c>
      <c r="B1101" t="inlineStr">
        <is>
          <t>0000100107</t>
        </is>
      </c>
      <c r="C1101" s="3" t="n">
        <v>45979</v>
      </c>
      <c r="D1101" s="3" t="n">
        <v>46024</v>
      </c>
      <c r="E1101" s="4" t="n">
        <v>173.04</v>
      </c>
      <c r="F1101">
        <f>Summary!$B$3-D1101</f>
        <v/>
      </c>
      <c r="G1101">
        <f>IF(D1101&gt;Summary!$B$3,"Current",IF(F1101&lt;=30,"0-30",IF(F1101&lt;=60,"31-60",IF(F1101&lt;=90,"61-90","90+"))))</f>
        <v/>
      </c>
    </row>
    <row r="1102">
      <c r="A1102" t="inlineStr">
        <is>
          <t>0009028189</t>
        </is>
      </c>
      <c r="B1102" t="inlineStr">
        <is>
          <t>0000100267</t>
        </is>
      </c>
      <c r="C1102" s="3" t="n">
        <v>45984</v>
      </c>
      <c r="D1102" s="3" t="n">
        <v>46029</v>
      </c>
      <c r="E1102" s="4" t="n">
        <v>808.35</v>
      </c>
      <c r="F1102">
        <f>Summary!$B$3-D1102</f>
        <v/>
      </c>
      <c r="G1102">
        <f>IF(D1102&gt;Summary!$B$3,"Current",IF(F1102&lt;=30,"0-30",IF(F1102&lt;=60,"31-60",IF(F1102&lt;=90,"61-90","90+"))))</f>
        <v/>
      </c>
    </row>
    <row r="1103">
      <c r="A1103" t="inlineStr">
        <is>
          <t>0009028190</t>
        </is>
      </c>
      <c r="B1103" t="inlineStr">
        <is>
          <t>0000100300</t>
        </is>
      </c>
      <c r="C1103" s="3" t="n">
        <v>45980</v>
      </c>
      <c r="D1103" s="3" t="n">
        <v>46010</v>
      </c>
      <c r="E1103" s="4" t="n">
        <v>1386.86</v>
      </c>
      <c r="F1103">
        <f>Summary!$B$3-D1103</f>
        <v/>
      </c>
      <c r="G1103">
        <f>IF(D1103&gt;Summary!$B$3,"Current",IF(F1103&lt;=30,"0-30",IF(F1103&lt;=60,"31-60",IF(F1103&lt;=90,"61-90","90+"))))</f>
        <v/>
      </c>
    </row>
    <row r="1104">
      <c r="A1104" t="inlineStr">
        <is>
          <t>0009028193</t>
        </is>
      </c>
      <c r="B1104" t="inlineStr">
        <is>
          <t>0000100345</t>
        </is>
      </c>
      <c r="C1104" s="3" t="n">
        <v>45981</v>
      </c>
      <c r="D1104" s="3" t="n">
        <v>46011</v>
      </c>
      <c r="E1104" s="4" t="n">
        <v>376.72</v>
      </c>
      <c r="F1104">
        <f>Summary!$B$3-D1104</f>
        <v/>
      </c>
      <c r="G1104">
        <f>IF(D1104&gt;Summary!$B$3,"Current",IF(F1104&lt;=30,"0-30",IF(F1104&lt;=60,"31-60",IF(F1104&lt;=90,"61-90","90+"))))</f>
        <v/>
      </c>
    </row>
    <row r="1105">
      <c r="A1105" t="inlineStr">
        <is>
          <t>0009028194</t>
        </is>
      </c>
      <c r="B1105" t="inlineStr">
        <is>
          <t>0000100272</t>
        </is>
      </c>
      <c r="C1105" s="3" t="n">
        <v>45977</v>
      </c>
      <c r="D1105" s="3" t="n">
        <v>46037</v>
      </c>
      <c r="E1105" s="4" t="n">
        <v>963.51</v>
      </c>
      <c r="F1105">
        <f>Summary!$B$3-D1105</f>
        <v/>
      </c>
      <c r="G1105">
        <f>IF(D1105&gt;Summary!$B$3,"Current",IF(F1105&lt;=30,"0-30",IF(F1105&lt;=60,"31-60",IF(F1105&lt;=90,"61-90","90+"))))</f>
        <v/>
      </c>
    </row>
    <row r="1106">
      <c r="A1106" t="inlineStr">
        <is>
          <t>0009028195</t>
        </is>
      </c>
      <c r="B1106" t="inlineStr">
        <is>
          <t>0000100474</t>
        </is>
      </c>
      <c r="C1106" s="3" t="n">
        <v>45977</v>
      </c>
      <c r="D1106" s="3" t="n">
        <v>46037</v>
      </c>
      <c r="E1106" s="4" t="n">
        <v>135.41</v>
      </c>
      <c r="F1106">
        <f>Summary!$B$3-D1106</f>
        <v/>
      </c>
      <c r="G1106">
        <f>IF(D1106&gt;Summary!$B$3,"Current",IF(F1106&lt;=30,"0-30",IF(F1106&lt;=60,"31-60",IF(F1106&lt;=90,"61-90","90+"))))</f>
        <v/>
      </c>
    </row>
    <row r="1107">
      <c r="A1107" t="inlineStr">
        <is>
          <t>0009028196</t>
        </is>
      </c>
      <c r="B1107" t="inlineStr">
        <is>
          <t>0000100226</t>
        </is>
      </c>
      <c r="C1107" s="3" t="n">
        <v>45981</v>
      </c>
      <c r="D1107" s="3" t="n">
        <v>46026</v>
      </c>
      <c r="E1107" s="4" t="n">
        <v>253.28</v>
      </c>
      <c r="F1107">
        <f>Summary!$B$3-D1107</f>
        <v/>
      </c>
      <c r="G1107">
        <f>IF(D1107&gt;Summary!$B$3,"Current",IF(F1107&lt;=30,"0-30",IF(F1107&lt;=60,"31-60",IF(F1107&lt;=90,"61-90","90+"))))</f>
        <v/>
      </c>
    </row>
    <row r="1108">
      <c r="A1108" t="inlineStr">
        <is>
          <t>0009028198</t>
        </is>
      </c>
      <c r="B1108" t="inlineStr">
        <is>
          <t>0000100484</t>
        </is>
      </c>
      <c r="C1108" s="3" t="n">
        <v>45980</v>
      </c>
      <c r="D1108" s="3" t="n">
        <v>46040</v>
      </c>
      <c r="E1108" s="4" t="n">
        <v>1197.21</v>
      </c>
      <c r="F1108">
        <f>Summary!$B$3-D1108</f>
        <v/>
      </c>
      <c r="G1108">
        <f>IF(D1108&gt;Summary!$B$3,"Current",IF(F1108&lt;=30,"0-30",IF(F1108&lt;=60,"31-60",IF(F1108&lt;=90,"61-90","90+"))))</f>
        <v/>
      </c>
    </row>
    <row r="1109">
      <c r="A1109" t="inlineStr">
        <is>
          <t>0009028200</t>
        </is>
      </c>
      <c r="B1109" t="inlineStr">
        <is>
          <t>0000100525</t>
        </is>
      </c>
      <c r="C1109" s="3" t="n">
        <v>45981</v>
      </c>
      <c r="D1109" s="3" t="n">
        <v>46026</v>
      </c>
      <c r="E1109" s="4" t="n">
        <v>243.11</v>
      </c>
      <c r="F1109">
        <f>Summary!$B$3-D1109</f>
        <v/>
      </c>
      <c r="G1109">
        <f>IF(D1109&gt;Summary!$B$3,"Current",IF(F1109&lt;=30,"0-30",IF(F1109&lt;=60,"31-60",IF(F1109&lt;=90,"61-90","90+"))))</f>
        <v/>
      </c>
    </row>
    <row r="1110">
      <c r="A1110" t="inlineStr">
        <is>
          <t>0009028202</t>
        </is>
      </c>
      <c r="B1110" t="inlineStr">
        <is>
          <t>0000100553</t>
        </is>
      </c>
      <c r="C1110" s="3" t="n">
        <v>45984</v>
      </c>
      <c r="D1110" s="3" t="n">
        <v>46014</v>
      </c>
      <c r="E1110" s="4" t="n">
        <v>400.11</v>
      </c>
      <c r="F1110">
        <f>Summary!$B$3-D1110</f>
        <v/>
      </c>
      <c r="G1110">
        <f>IF(D1110&gt;Summary!$B$3,"Current",IF(F1110&lt;=30,"0-30",IF(F1110&lt;=60,"31-60",IF(F1110&lt;=90,"61-90","90+"))))</f>
        <v/>
      </c>
    </row>
    <row r="1111">
      <c r="A1111" t="inlineStr">
        <is>
          <t>0009028206</t>
        </is>
      </c>
      <c r="B1111" t="inlineStr">
        <is>
          <t>0000100261</t>
        </is>
      </c>
      <c r="C1111" s="3" t="n">
        <v>45979</v>
      </c>
      <c r="D1111" s="3" t="n">
        <v>46024</v>
      </c>
      <c r="E1111" s="4" t="n">
        <v>522.08</v>
      </c>
      <c r="F1111">
        <f>Summary!$B$3-D1111</f>
        <v/>
      </c>
      <c r="G1111">
        <f>IF(D1111&gt;Summary!$B$3,"Current",IF(F1111&lt;=30,"0-30",IF(F1111&lt;=60,"31-60",IF(F1111&lt;=90,"61-90","90+"))))</f>
        <v/>
      </c>
    </row>
    <row r="1112">
      <c r="A1112" t="inlineStr">
        <is>
          <t>0009028207</t>
        </is>
      </c>
      <c r="B1112" t="inlineStr">
        <is>
          <t>0000100564</t>
        </is>
      </c>
      <c r="C1112" s="3" t="n">
        <v>45982</v>
      </c>
      <c r="D1112" s="3" t="n">
        <v>46012</v>
      </c>
      <c r="E1112" s="4" t="n">
        <v>375.02</v>
      </c>
      <c r="F1112">
        <f>Summary!$B$3-D1112</f>
        <v/>
      </c>
      <c r="G1112">
        <f>IF(D1112&gt;Summary!$B$3,"Current",IF(F1112&lt;=30,"0-30",IF(F1112&lt;=60,"31-60",IF(F1112&lt;=90,"61-90","90+"))))</f>
        <v/>
      </c>
    </row>
    <row r="1113">
      <c r="A1113" t="inlineStr">
        <is>
          <t>0009028208</t>
        </is>
      </c>
      <c r="B1113" t="inlineStr">
        <is>
          <t>0000100521</t>
        </is>
      </c>
      <c r="C1113" s="3" t="n">
        <v>45984</v>
      </c>
      <c r="D1113" s="3" t="n">
        <v>46014</v>
      </c>
      <c r="E1113" s="4" t="n">
        <v>195.2</v>
      </c>
      <c r="F1113">
        <f>Summary!$B$3-D1113</f>
        <v/>
      </c>
      <c r="G1113">
        <f>IF(D1113&gt;Summary!$B$3,"Current",IF(F1113&lt;=30,"0-30",IF(F1113&lt;=60,"31-60",IF(F1113&lt;=90,"61-90","90+"))))</f>
        <v/>
      </c>
    </row>
    <row r="1114">
      <c r="A1114" t="inlineStr">
        <is>
          <t>0009028211</t>
        </is>
      </c>
      <c r="B1114" t="inlineStr">
        <is>
          <t>0000100262</t>
        </is>
      </c>
      <c r="C1114" s="3" t="n">
        <v>45982</v>
      </c>
      <c r="D1114" s="3" t="n">
        <v>46027</v>
      </c>
      <c r="E1114" s="4" t="n">
        <v>1348.09</v>
      </c>
      <c r="F1114">
        <f>Summary!$B$3-D1114</f>
        <v/>
      </c>
      <c r="G1114">
        <f>IF(D1114&gt;Summary!$B$3,"Current",IF(F1114&lt;=30,"0-30",IF(F1114&lt;=60,"31-60",IF(F1114&lt;=90,"61-90","90+"))))</f>
        <v/>
      </c>
    </row>
    <row r="1115">
      <c r="A1115" t="inlineStr">
        <is>
          <t>0009028212</t>
        </is>
      </c>
      <c r="B1115" t="inlineStr">
        <is>
          <t>0000100267</t>
        </is>
      </c>
      <c r="C1115" s="3" t="n">
        <v>45980</v>
      </c>
      <c r="D1115" s="3" t="n">
        <v>46025</v>
      </c>
      <c r="E1115" s="4" t="n">
        <v>6725.13</v>
      </c>
      <c r="F1115">
        <f>Summary!$B$3-D1115</f>
        <v/>
      </c>
      <c r="G1115">
        <f>IF(D1115&gt;Summary!$B$3,"Current",IF(F1115&lt;=30,"0-30",IF(F1115&lt;=60,"31-60",IF(F1115&lt;=90,"61-90","90+"))))</f>
        <v/>
      </c>
    </row>
    <row r="1116">
      <c r="A1116" t="inlineStr">
        <is>
          <t>0009028213</t>
        </is>
      </c>
      <c r="B1116" t="inlineStr">
        <is>
          <t>0000100587</t>
        </is>
      </c>
      <c r="C1116" s="3" t="n">
        <v>45980</v>
      </c>
      <c r="D1116" s="3" t="n">
        <v>46040</v>
      </c>
      <c r="E1116" s="4" t="n">
        <v>2549.23</v>
      </c>
      <c r="F1116">
        <f>Summary!$B$3-D1116</f>
        <v/>
      </c>
      <c r="G1116">
        <f>IF(D1116&gt;Summary!$B$3,"Current",IF(F1116&lt;=30,"0-30",IF(F1116&lt;=60,"31-60",IF(F1116&lt;=90,"61-90","90+"))))</f>
        <v/>
      </c>
    </row>
    <row r="1117">
      <c r="A1117" t="inlineStr">
        <is>
          <t>0009028215</t>
        </is>
      </c>
      <c r="B1117" t="inlineStr">
        <is>
          <t>0000100291</t>
        </is>
      </c>
      <c r="C1117" s="3" t="n">
        <v>45984</v>
      </c>
      <c r="D1117" s="3" t="n">
        <v>46044</v>
      </c>
      <c r="E1117" s="4" t="n">
        <v>166.86</v>
      </c>
      <c r="F1117">
        <f>Summary!$B$3-D1117</f>
        <v/>
      </c>
      <c r="G1117">
        <f>IF(D1117&gt;Summary!$B$3,"Current",IF(F1117&lt;=30,"0-30",IF(F1117&lt;=60,"31-60",IF(F1117&lt;=90,"61-90","90+"))))</f>
        <v/>
      </c>
    </row>
    <row r="1118">
      <c r="A1118" t="inlineStr">
        <is>
          <t>0009028216</t>
        </is>
      </c>
      <c r="B1118" t="inlineStr">
        <is>
          <t>0000100339</t>
        </is>
      </c>
      <c r="C1118" s="3" t="n">
        <v>45976</v>
      </c>
      <c r="D1118" s="3" t="n">
        <v>46006</v>
      </c>
      <c r="E1118" s="4" t="n">
        <v>148.07</v>
      </c>
      <c r="F1118">
        <f>Summary!$B$3-D1118</f>
        <v/>
      </c>
      <c r="G1118">
        <f>IF(D1118&gt;Summary!$B$3,"Current",IF(F1118&lt;=30,"0-30",IF(F1118&lt;=60,"31-60",IF(F1118&lt;=90,"61-90","90+"))))</f>
        <v/>
      </c>
    </row>
    <row r="1119">
      <c r="A1119" t="inlineStr">
        <is>
          <t>0009028217</t>
        </is>
      </c>
      <c r="B1119" t="inlineStr">
        <is>
          <t>0000100313</t>
        </is>
      </c>
      <c r="C1119" s="3" t="n">
        <v>45981</v>
      </c>
      <c r="D1119" s="3" t="n">
        <v>46041</v>
      </c>
      <c r="E1119" s="4" t="n">
        <v>2968.1</v>
      </c>
      <c r="F1119">
        <f>Summary!$B$3-D1119</f>
        <v/>
      </c>
      <c r="G1119">
        <f>IF(D1119&gt;Summary!$B$3,"Current",IF(F1119&lt;=30,"0-30",IF(F1119&lt;=60,"31-60",IF(F1119&lt;=90,"61-90","90+"))))</f>
        <v/>
      </c>
    </row>
    <row r="1120">
      <c r="A1120" t="inlineStr">
        <is>
          <t>0009028218</t>
        </is>
      </c>
      <c r="B1120" t="inlineStr">
        <is>
          <t>0000100145</t>
        </is>
      </c>
      <c r="C1120" s="3" t="n">
        <v>45981</v>
      </c>
      <c r="D1120" s="3" t="n">
        <v>46011</v>
      </c>
      <c r="E1120" s="4" t="n">
        <v>1379.4</v>
      </c>
      <c r="F1120">
        <f>Summary!$B$3-D1120</f>
        <v/>
      </c>
      <c r="G1120">
        <f>IF(D1120&gt;Summary!$B$3,"Current",IF(F1120&lt;=30,"0-30",IF(F1120&lt;=60,"31-60",IF(F1120&lt;=90,"61-90","90+"))))</f>
        <v/>
      </c>
    </row>
    <row r="1121">
      <c r="A1121" t="inlineStr">
        <is>
          <t>0009028220</t>
        </is>
      </c>
      <c r="B1121" t="inlineStr">
        <is>
          <t>0000100294</t>
        </is>
      </c>
      <c r="C1121" s="3" t="n">
        <v>45982</v>
      </c>
      <c r="D1121" s="3" t="n">
        <v>46027</v>
      </c>
      <c r="E1121" s="4" t="n">
        <v>97.92</v>
      </c>
      <c r="F1121">
        <f>Summary!$B$3-D1121</f>
        <v/>
      </c>
      <c r="G1121">
        <f>IF(D1121&gt;Summary!$B$3,"Current",IF(F1121&lt;=30,"0-30",IF(F1121&lt;=60,"31-60",IF(F1121&lt;=90,"61-90","90+"))))</f>
        <v/>
      </c>
    </row>
    <row r="1122">
      <c r="A1122" t="inlineStr">
        <is>
          <t>0009028221</t>
        </is>
      </c>
      <c r="B1122" t="inlineStr">
        <is>
          <t>0000100362</t>
        </is>
      </c>
      <c r="C1122" s="3" t="n">
        <v>45979</v>
      </c>
      <c r="D1122" s="3" t="n">
        <v>46009</v>
      </c>
      <c r="E1122" s="4" t="n">
        <v>756.3200000000001</v>
      </c>
      <c r="F1122">
        <f>Summary!$B$3-D1122</f>
        <v/>
      </c>
      <c r="G1122">
        <f>IF(D1122&gt;Summary!$B$3,"Current",IF(F1122&lt;=30,"0-30",IF(F1122&lt;=60,"31-60",IF(F1122&lt;=90,"61-90","90+"))))</f>
        <v/>
      </c>
    </row>
    <row r="1123">
      <c r="A1123" t="inlineStr">
        <is>
          <t>0009028224</t>
        </is>
      </c>
      <c r="B1123" t="inlineStr">
        <is>
          <t>0000100382</t>
        </is>
      </c>
      <c r="C1123" s="3" t="n">
        <v>45978</v>
      </c>
      <c r="D1123" s="3" t="n">
        <v>46023</v>
      </c>
      <c r="E1123" s="4" t="n">
        <v>859.16</v>
      </c>
      <c r="F1123">
        <f>Summary!$B$3-D1123</f>
        <v/>
      </c>
      <c r="G1123">
        <f>IF(D1123&gt;Summary!$B$3,"Current",IF(F1123&lt;=30,"0-30",IF(F1123&lt;=60,"31-60",IF(F1123&lt;=90,"61-90","90+"))))</f>
        <v/>
      </c>
    </row>
    <row r="1124">
      <c r="A1124" t="inlineStr">
        <is>
          <t>0009028225</t>
        </is>
      </c>
      <c r="B1124" t="inlineStr">
        <is>
          <t>0000100550</t>
        </is>
      </c>
      <c r="C1124" s="3" t="n">
        <v>45984</v>
      </c>
      <c r="D1124" s="3" t="n">
        <v>46014</v>
      </c>
      <c r="E1124" s="4" t="n">
        <v>1290.89</v>
      </c>
      <c r="F1124">
        <f>Summary!$B$3-D1124</f>
        <v/>
      </c>
      <c r="G1124">
        <f>IF(D1124&gt;Summary!$B$3,"Current",IF(F1124&lt;=30,"0-30",IF(F1124&lt;=60,"31-60",IF(F1124&lt;=90,"61-90","90+"))))</f>
        <v/>
      </c>
    </row>
    <row r="1125">
      <c r="A1125" t="inlineStr">
        <is>
          <t>0009028226</t>
        </is>
      </c>
      <c r="B1125" t="inlineStr">
        <is>
          <t>0000100110</t>
        </is>
      </c>
      <c r="C1125" s="3" t="n">
        <v>45981</v>
      </c>
      <c r="D1125" s="3" t="n">
        <v>46041</v>
      </c>
      <c r="E1125" s="4" t="n">
        <v>123.61</v>
      </c>
      <c r="F1125">
        <f>Summary!$B$3-D1125</f>
        <v/>
      </c>
      <c r="G1125">
        <f>IF(D1125&gt;Summary!$B$3,"Current",IF(F1125&lt;=30,"0-30",IF(F1125&lt;=60,"31-60",IF(F1125&lt;=90,"61-90","90+"))))</f>
        <v/>
      </c>
    </row>
    <row r="1126">
      <c r="A1126" t="inlineStr">
        <is>
          <t>0009028227</t>
        </is>
      </c>
      <c r="B1126" t="inlineStr">
        <is>
          <t>0000100097</t>
        </is>
      </c>
      <c r="C1126" s="3" t="n">
        <v>45981</v>
      </c>
      <c r="D1126" s="3" t="n">
        <v>46026</v>
      </c>
      <c r="E1126" s="4" t="n">
        <v>565.4</v>
      </c>
      <c r="F1126">
        <f>Summary!$B$3-D1126</f>
        <v/>
      </c>
      <c r="G1126">
        <f>IF(D1126&gt;Summary!$B$3,"Current",IF(F1126&lt;=30,"0-30",IF(F1126&lt;=60,"31-60",IF(F1126&lt;=90,"61-90","90+"))))</f>
        <v/>
      </c>
    </row>
    <row r="1127">
      <c r="A1127" t="inlineStr">
        <is>
          <t>0009028228</t>
        </is>
      </c>
      <c r="B1127" t="inlineStr">
        <is>
          <t>0000100274</t>
        </is>
      </c>
      <c r="C1127" s="3" t="n">
        <v>45987</v>
      </c>
      <c r="D1127" s="3" t="n">
        <v>46032</v>
      </c>
      <c r="E1127" s="4" t="n">
        <v>1579.04</v>
      </c>
      <c r="F1127">
        <f>Summary!$B$3-D1127</f>
        <v/>
      </c>
      <c r="G1127">
        <f>IF(D1127&gt;Summary!$B$3,"Current",IF(F1127&lt;=30,"0-30",IF(F1127&lt;=60,"31-60",IF(F1127&lt;=90,"61-90","90+"))))</f>
        <v/>
      </c>
    </row>
    <row r="1128">
      <c r="A1128" t="inlineStr">
        <is>
          <t>0009028229</t>
        </is>
      </c>
      <c r="B1128" t="inlineStr">
        <is>
          <t>0000100346</t>
        </is>
      </c>
      <c r="C1128" s="3" t="n">
        <v>45977</v>
      </c>
      <c r="D1128" s="3" t="n">
        <v>46022</v>
      </c>
      <c r="E1128" s="4" t="n">
        <v>111.4</v>
      </c>
      <c r="F1128">
        <f>Summary!$B$3-D1128</f>
        <v/>
      </c>
      <c r="G1128">
        <f>IF(D1128&gt;Summary!$B$3,"Current",IF(F1128&lt;=30,"0-30",IF(F1128&lt;=60,"31-60",IF(F1128&lt;=90,"61-90","90+"))))</f>
        <v/>
      </c>
    </row>
    <row r="1129">
      <c r="A1129" t="inlineStr">
        <is>
          <t>0009028230</t>
        </is>
      </c>
      <c r="B1129" t="inlineStr">
        <is>
          <t>0000100356</t>
        </is>
      </c>
      <c r="C1129" s="3" t="n">
        <v>45983</v>
      </c>
      <c r="D1129" s="3" t="n">
        <v>46028</v>
      </c>
      <c r="E1129" s="4" t="n">
        <v>104.4</v>
      </c>
      <c r="F1129">
        <f>Summary!$B$3-D1129</f>
        <v/>
      </c>
      <c r="G1129">
        <f>IF(D1129&gt;Summary!$B$3,"Current",IF(F1129&lt;=30,"0-30",IF(F1129&lt;=60,"31-60",IF(F1129&lt;=90,"61-90","90+"))))</f>
        <v/>
      </c>
    </row>
    <row r="1130">
      <c r="A1130" t="inlineStr">
        <is>
          <t>0009028232</t>
        </is>
      </c>
      <c r="B1130" t="inlineStr">
        <is>
          <t>0000100390</t>
        </is>
      </c>
      <c r="C1130" s="3" t="n">
        <v>45980</v>
      </c>
      <c r="D1130" s="3" t="n">
        <v>46025</v>
      </c>
      <c r="E1130" s="4" t="n">
        <v>758.1</v>
      </c>
      <c r="F1130">
        <f>Summary!$B$3-D1130</f>
        <v/>
      </c>
      <c r="G1130">
        <f>IF(D1130&gt;Summary!$B$3,"Current",IF(F1130&lt;=30,"0-30",IF(F1130&lt;=60,"31-60",IF(F1130&lt;=90,"61-90","90+"))))</f>
        <v/>
      </c>
    </row>
    <row r="1131">
      <c r="A1131" t="inlineStr">
        <is>
          <t>0009028233</t>
        </is>
      </c>
      <c r="B1131" t="inlineStr">
        <is>
          <t>0000100571</t>
        </is>
      </c>
      <c r="C1131" s="3" t="n">
        <v>45987</v>
      </c>
      <c r="D1131" s="3" t="n">
        <v>46032</v>
      </c>
      <c r="E1131" s="4" t="n">
        <v>369.22</v>
      </c>
      <c r="F1131">
        <f>Summary!$B$3-D1131</f>
        <v/>
      </c>
      <c r="G1131">
        <f>IF(D1131&gt;Summary!$B$3,"Current",IF(F1131&lt;=30,"0-30",IF(F1131&lt;=60,"31-60",IF(F1131&lt;=90,"61-90","90+"))))</f>
        <v/>
      </c>
    </row>
    <row r="1132">
      <c r="A1132" t="inlineStr">
        <is>
          <t>0009028234</t>
        </is>
      </c>
      <c r="B1132" t="inlineStr">
        <is>
          <t>0000100442</t>
        </is>
      </c>
      <c r="C1132" s="3" t="n">
        <v>45981</v>
      </c>
      <c r="D1132" s="3" t="n">
        <v>46026</v>
      </c>
      <c r="E1132" s="4" t="n">
        <v>92.78</v>
      </c>
      <c r="F1132">
        <f>Summary!$B$3-D1132</f>
        <v/>
      </c>
      <c r="G1132">
        <f>IF(D1132&gt;Summary!$B$3,"Current",IF(F1132&lt;=30,"0-30",IF(F1132&lt;=60,"31-60",IF(F1132&lt;=90,"61-90","90+"))))</f>
        <v/>
      </c>
    </row>
    <row r="1133">
      <c r="A1133" t="inlineStr">
        <is>
          <t>0009028235</t>
        </is>
      </c>
      <c r="B1133" t="inlineStr">
        <is>
          <t>0000100091</t>
        </is>
      </c>
      <c r="C1133" s="3" t="n">
        <v>45975</v>
      </c>
      <c r="D1133" s="3" t="n">
        <v>46035</v>
      </c>
      <c r="E1133" s="4" t="n">
        <v>1373.31</v>
      </c>
      <c r="F1133">
        <f>Summary!$B$3-D1133</f>
        <v/>
      </c>
      <c r="G1133">
        <f>IF(D1133&gt;Summary!$B$3,"Current",IF(F1133&lt;=30,"0-30",IF(F1133&lt;=60,"31-60",IF(F1133&lt;=90,"61-90","90+"))))</f>
        <v/>
      </c>
    </row>
    <row r="1134">
      <c r="A1134" t="inlineStr">
        <is>
          <t>0009028236</t>
        </is>
      </c>
      <c r="B1134" t="inlineStr">
        <is>
          <t>0000100202</t>
        </is>
      </c>
      <c r="C1134" s="3" t="n">
        <v>45984</v>
      </c>
      <c r="D1134" s="3" t="n">
        <v>46044</v>
      </c>
      <c r="E1134" s="4" t="n">
        <v>1064.96</v>
      </c>
      <c r="F1134">
        <f>Summary!$B$3-D1134</f>
        <v/>
      </c>
      <c r="G1134">
        <f>IF(D1134&gt;Summary!$B$3,"Current",IF(F1134&lt;=30,"0-30",IF(F1134&lt;=60,"31-60",IF(F1134&lt;=90,"61-90","90+"))))</f>
        <v/>
      </c>
    </row>
    <row r="1135">
      <c r="A1135" t="inlineStr">
        <is>
          <t>0009028240</t>
        </is>
      </c>
      <c r="B1135" t="inlineStr">
        <is>
          <t>0000100394</t>
        </is>
      </c>
      <c r="C1135" s="3" t="n">
        <v>45977</v>
      </c>
      <c r="D1135" s="3" t="n">
        <v>46037</v>
      </c>
      <c r="E1135" s="4" t="n">
        <v>1218.1</v>
      </c>
      <c r="F1135">
        <f>Summary!$B$3-D1135</f>
        <v/>
      </c>
      <c r="G1135">
        <f>IF(D1135&gt;Summary!$B$3,"Current",IF(F1135&lt;=30,"0-30",IF(F1135&lt;=60,"31-60",IF(F1135&lt;=90,"61-90","90+"))))</f>
        <v/>
      </c>
    </row>
    <row r="1136">
      <c r="A1136" t="inlineStr">
        <is>
          <t>0009028242</t>
        </is>
      </c>
      <c r="B1136" t="inlineStr">
        <is>
          <t>0000100481</t>
        </is>
      </c>
      <c r="C1136" s="3" t="n">
        <v>45983</v>
      </c>
      <c r="D1136" s="3" t="n">
        <v>46043</v>
      </c>
      <c r="E1136" s="4" t="n">
        <v>633.23</v>
      </c>
      <c r="F1136">
        <f>Summary!$B$3-D1136</f>
        <v/>
      </c>
      <c r="G1136">
        <f>IF(D1136&gt;Summary!$B$3,"Current",IF(F1136&lt;=30,"0-30",IF(F1136&lt;=60,"31-60",IF(F1136&lt;=90,"61-90","90+"))))</f>
        <v/>
      </c>
    </row>
    <row r="1137">
      <c r="A1137" t="inlineStr">
        <is>
          <t>0009028244</t>
        </is>
      </c>
      <c r="B1137" t="inlineStr">
        <is>
          <t>0000100587</t>
        </is>
      </c>
      <c r="C1137" s="3" t="n">
        <v>45980</v>
      </c>
      <c r="D1137" s="3" t="n">
        <v>46040</v>
      </c>
      <c r="E1137" s="4" t="n">
        <v>2787.22</v>
      </c>
      <c r="F1137">
        <f>Summary!$B$3-D1137</f>
        <v/>
      </c>
      <c r="G1137">
        <f>IF(D1137&gt;Summary!$B$3,"Current",IF(F1137&lt;=30,"0-30",IF(F1137&lt;=60,"31-60",IF(F1137&lt;=90,"61-90","90+"))))</f>
        <v/>
      </c>
    </row>
    <row r="1138">
      <c r="A1138" t="inlineStr">
        <is>
          <t>0009028245</t>
        </is>
      </c>
      <c r="B1138" t="inlineStr">
        <is>
          <t>0000100424</t>
        </is>
      </c>
      <c r="C1138" s="3" t="n">
        <v>45978</v>
      </c>
      <c r="D1138" s="3" t="n">
        <v>46023</v>
      </c>
      <c r="E1138" s="4" t="n">
        <v>382.17</v>
      </c>
      <c r="F1138">
        <f>Summary!$B$3-D1138</f>
        <v/>
      </c>
      <c r="G1138">
        <f>IF(D1138&gt;Summary!$B$3,"Current",IF(F1138&lt;=30,"0-30",IF(F1138&lt;=60,"31-60",IF(F1138&lt;=90,"61-90","90+"))))</f>
        <v/>
      </c>
    </row>
    <row r="1139">
      <c r="A1139" t="inlineStr">
        <is>
          <t>0009028246</t>
        </is>
      </c>
      <c r="B1139" t="inlineStr">
        <is>
          <t>0000100516</t>
        </is>
      </c>
      <c r="C1139" s="3" t="n">
        <v>45985</v>
      </c>
      <c r="D1139" s="3" t="n">
        <v>46015</v>
      </c>
      <c r="E1139" s="4" t="n">
        <v>3327.86</v>
      </c>
      <c r="F1139">
        <f>Summary!$B$3-D1139</f>
        <v/>
      </c>
      <c r="G1139">
        <f>IF(D1139&gt;Summary!$B$3,"Current",IF(F1139&lt;=30,"0-30",IF(F1139&lt;=60,"31-60",IF(F1139&lt;=90,"61-90","90+"))))</f>
        <v/>
      </c>
    </row>
    <row r="1140">
      <c r="A1140" t="inlineStr">
        <is>
          <t>0009028247</t>
        </is>
      </c>
      <c r="B1140" t="inlineStr">
        <is>
          <t>0000100163</t>
        </is>
      </c>
      <c r="C1140" s="3" t="n">
        <v>45978</v>
      </c>
      <c r="D1140" s="3" t="n">
        <v>46008</v>
      </c>
      <c r="E1140" s="4" t="n">
        <v>313.02</v>
      </c>
      <c r="F1140">
        <f>Summary!$B$3-D1140</f>
        <v/>
      </c>
      <c r="G1140">
        <f>IF(D1140&gt;Summary!$B$3,"Current",IF(F1140&lt;=30,"0-30",IF(F1140&lt;=60,"31-60",IF(F1140&lt;=90,"61-90","90+"))))</f>
        <v/>
      </c>
    </row>
    <row r="1141">
      <c r="A1141" t="inlineStr">
        <is>
          <t>0009028248</t>
        </is>
      </c>
      <c r="B1141" t="inlineStr">
        <is>
          <t>0000100052</t>
        </is>
      </c>
      <c r="C1141" s="3" t="n">
        <v>45982</v>
      </c>
      <c r="D1141" s="3" t="n">
        <v>46027</v>
      </c>
      <c r="E1141" s="4" t="n">
        <v>250.3</v>
      </c>
      <c r="F1141">
        <f>Summary!$B$3-D1141</f>
        <v/>
      </c>
      <c r="G1141">
        <f>IF(D1141&gt;Summary!$B$3,"Current",IF(F1141&lt;=30,"0-30",IF(F1141&lt;=60,"31-60",IF(F1141&lt;=90,"61-90","90+"))))</f>
        <v/>
      </c>
    </row>
    <row r="1142">
      <c r="A1142" t="inlineStr">
        <is>
          <t>0009028249</t>
        </is>
      </c>
      <c r="B1142" t="inlineStr">
        <is>
          <t>0000100382</t>
        </is>
      </c>
      <c r="C1142" s="3" t="n">
        <v>45977</v>
      </c>
      <c r="D1142" s="3" t="n">
        <v>46022</v>
      </c>
      <c r="E1142" s="4" t="n">
        <v>272.4</v>
      </c>
      <c r="F1142">
        <f>Summary!$B$3-D1142</f>
        <v/>
      </c>
      <c r="G1142">
        <f>IF(D1142&gt;Summary!$B$3,"Current",IF(F1142&lt;=30,"0-30",IF(F1142&lt;=60,"31-60",IF(F1142&lt;=90,"61-90","90+"))))</f>
        <v/>
      </c>
    </row>
    <row r="1143">
      <c r="A1143" t="inlineStr">
        <is>
          <t>0009028250</t>
        </is>
      </c>
      <c r="B1143" t="inlineStr">
        <is>
          <t>0000100018</t>
        </is>
      </c>
      <c r="C1143" s="3" t="n">
        <v>45981</v>
      </c>
      <c r="D1143" s="3" t="n">
        <v>46011</v>
      </c>
      <c r="E1143" s="4" t="n">
        <v>4113.09</v>
      </c>
      <c r="F1143">
        <f>Summary!$B$3-D1143</f>
        <v/>
      </c>
      <c r="G1143">
        <f>IF(D1143&gt;Summary!$B$3,"Current",IF(F1143&lt;=30,"0-30",IF(F1143&lt;=60,"31-60",IF(F1143&lt;=90,"61-90","90+"))))</f>
        <v/>
      </c>
    </row>
    <row r="1144">
      <c r="A1144" t="inlineStr">
        <is>
          <t>0009028251</t>
        </is>
      </c>
      <c r="B1144" t="inlineStr">
        <is>
          <t>0000100228</t>
        </is>
      </c>
      <c r="C1144" s="3" t="n">
        <v>45980</v>
      </c>
      <c r="D1144" s="3" t="n">
        <v>46040</v>
      </c>
      <c r="E1144" s="4" t="n">
        <v>1751.72</v>
      </c>
      <c r="F1144">
        <f>Summary!$B$3-D1144</f>
        <v/>
      </c>
      <c r="G1144">
        <f>IF(D1144&gt;Summary!$B$3,"Current",IF(F1144&lt;=30,"0-30",IF(F1144&lt;=60,"31-60",IF(F1144&lt;=90,"61-90","90+"))))</f>
        <v/>
      </c>
    </row>
    <row r="1145">
      <c r="A1145" t="inlineStr">
        <is>
          <t>0009028252</t>
        </is>
      </c>
      <c r="B1145" t="inlineStr">
        <is>
          <t>0000100201</t>
        </is>
      </c>
      <c r="C1145" s="3" t="n">
        <v>45977</v>
      </c>
      <c r="D1145" s="3" t="n">
        <v>46007</v>
      </c>
      <c r="E1145" s="4" t="n">
        <v>477.32</v>
      </c>
      <c r="F1145">
        <f>Summary!$B$3-D1145</f>
        <v/>
      </c>
      <c r="G1145">
        <f>IF(D1145&gt;Summary!$B$3,"Current",IF(F1145&lt;=30,"0-30",IF(F1145&lt;=60,"31-60",IF(F1145&lt;=90,"61-90","90+"))))</f>
        <v/>
      </c>
    </row>
    <row r="1146">
      <c r="A1146" t="inlineStr">
        <is>
          <t>0009028255</t>
        </is>
      </c>
      <c r="B1146" t="inlineStr">
        <is>
          <t>0000100465</t>
        </is>
      </c>
      <c r="C1146" s="3" t="n">
        <v>45980</v>
      </c>
      <c r="D1146" s="3" t="n">
        <v>46040</v>
      </c>
      <c r="E1146" s="4" t="n">
        <v>1420.13</v>
      </c>
      <c r="F1146">
        <f>Summary!$B$3-D1146</f>
        <v/>
      </c>
      <c r="G1146">
        <f>IF(D1146&gt;Summary!$B$3,"Current",IF(F1146&lt;=30,"0-30",IF(F1146&lt;=60,"31-60",IF(F1146&lt;=90,"61-90","90+"))))</f>
        <v/>
      </c>
    </row>
    <row r="1147">
      <c r="A1147" t="inlineStr">
        <is>
          <t>0009028256</t>
        </is>
      </c>
      <c r="B1147" t="inlineStr">
        <is>
          <t>0000100089</t>
        </is>
      </c>
      <c r="C1147" s="3" t="n">
        <v>45984</v>
      </c>
      <c r="D1147" s="3" t="n">
        <v>46029</v>
      </c>
      <c r="E1147" s="4" t="n">
        <v>472.77</v>
      </c>
      <c r="F1147">
        <f>Summary!$B$3-D1147</f>
        <v/>
      </c>
      <c r="G1147">
        <f>IF(D1147&gt;Summary!$B$3,"Current",IF(F1147&lt;=30,"0-30",IF(F1147&lt;=60,"31-60",IF(F1147&lt;=90,"61-90","90+"))))</f>
        <v/>
      </c>
    </row>
    <row r="1148">
      <c r="A1148" t="inlineStr">
        <is>
          <t>0009028257</t>
        </is>
      </c>
      <c r="B1148" t="inlineStr">
        <is>
          <t>0000100429</t>
        </is>
      </c>
      <c r="C1148" s="3" t="n">
        <v>45983</v>
      </c>
      <c r="D1148" s="3" t="n">
        <v>46013</v>
      </c>
      <c r="E1148" s="4" t="n">
        <v>293.43</v>
      </c>
      <c r="F1148">
        <f>Summary!$B$3-D1148</f>
        <v/>
      </c>
      <c r="G1148">
        <f>IF(D1148&gt;Summary!$B$3,"Current",IF(F1148&lt;=30,"0-30",IF(F1148&lt;=60,"31-60",IF(F1148&lt;=90,"61-90","90+"))))</f>
        <v/>
      </c>
    </row>
    <row r="1149">
      <c r="A1149" t="inlineStr">
        <is>
          <t>0009028261</t>
        </is>
      </c>
      <c r="B1149" t="inlineStr">
        <is>
          <t>0000100467</t>
        </is>
      </c>
      <c r="C1149" s="3" t="n">
        <v>45977</v>
      </c>
      <c r="D1149" s="3" t="n">
        <v>46022</v>
      </c>
      <c r="E1149" s="4" t="n">
        <v>1679.95</v>
      </c>
      <c r="F1149">
        <f>Summary!$B$3-D1149</f>
        <v/>
      </c>
      <c r="G1149">
        <f>IF(D1149&gt;Summary!$B$3,"Current",IF(F1149&lt;=30,"0-30",IF(F1149&lt;=60,"31-60",IF(F1149&lt;=90,"61-90","90+"))))</f>
        <v/>
      </c>
    </row>
    <row r="1150">
      <c r="A1150" t="inlineStr">
        <is>
          <t>0009028262</t>
        </is>
      </c>
      <c r="B1150" t="inlineStr">
        <is>
          <t>0000100111</t>
        </is>
      </c>
      <c r="C1150" s="3" t="n">
        <v>45980</v>
      </c>
      <c r="D1150" s="3" t="n">
        <v>46025</v>
      </c>
      <c r="E1150" s="4" t="n">
        <v>459.37</v>
      </c>
      <c r="F1150">
        <f>Summary!$B$3-D1150</f>
        <v/>
      </c>
      <c r="G1150">
        <f>IF(D1150&gt;Summary!$B$3,"Current",IF(F1150&lt;=30,"0-30",IF(F1150&lt;=60,"31-60",IF(F1150&lt;=90,"61-90","90+"))))</f>
        <v/>
      </c>
    </row>
    <row r="1151">
      <c r="A1151" t="inlineStr">
        <is>
          <t>0009028264</t>
        </is>
      </c>
      <c r="B1151" t="inlineStr">
        <is>
          <t>0000100572</t>
        </is>
      </c>
      <c r="C1151" s="3" t="n">
        <v>45981</v>
      </c>
      <c r="D1151" s="3" t="n">
        <v>46011</v>
      </c>
      <c r="E1151" s="4" t="n">
        <v>3015.54</v>
      </c>
      <c r="F1151">
        <f>Summary!$B$3-D1151</f>
        <v/>
      </c>
      <c r="G1151">
        <f>IF(D1151&gt;Summary!$B$3,"Current",IF(F1151&lt;=30,"0-30",IF(F1151&lt;=60,"31-60",IF(F1151&lt;=90,"61-90","90+"))))</f>
        <v/>
      </c>
    </row>
    <row r="1152">
      <c r="A1152" t="inlineStr">
        <is>
          <t>0009028268</t>
        </is>
      </c>
      <c r="B1152" t="inlineStr">
        <is>
          <t>0000100181</t>
        </is>
      </c>
      <c r="C1152" s="3" t="n">
        <v>45976</v>
      </c>
      <c r="D1152" s="3" t="n">
        <v>46036</v>
      </c>
      <c r="E1152" s="4" t="n">
        <v>2724.72</v>
      </c>
      <c r="F1152">
        <f>Summary!$B$3-D1152</f>
        <v/>
      </c>
      <c r="G1152">
        <f>IF(D1152&gt;Summary!$B$3,"Current",IF(F1152&lt;=30,"0-30",IF(F1152&lt;=60,"31-60",IF(F1152&lt;=90,"61-90","90+"))))</f>
        <v/>
      </c>
    </row>
    <row r="1153">
      <c r="A1153" t="inlineStr">
        <is>
          <t>0009028269</t>
        </is>
      </c>
      <c r="B1153" t="inlineStr">
        <is>
          <t>0000100534</t>
        </is>
      </c>
      <c r="C1153" s="3" t="n">
        <v>45979</v>
      </c>
      <c r="D1153" s="3" t="n">
        <v>46039</v>
      </c>
      <c r="E1153" s="4" t="n">
        <v>103.62</v>
      </c>
      <c r="F1153">
        <f>Summary!$B$3-D1153</f>
        <v/>
      </c>
      <c r="G1153">
        <f>IF(D1153&gt;Summary!$B$3,"Current",IF(F1153&lt;=30,"0-30",IF(F1153&lt;=60,"31-60",IF(F1153&lt;=90,"61-90","90+"))))</f>
        <v/>
      </c>
    </row>
    <row r="1154">
      <c r="A1154" t="inlineStr">
        <is>
          <t>0009028271</t>
        </is>
      </c>
      <c r="B1154" t="inlineStr">
        <is>
          <t>0000100300</t>
        </is>
      </c>
      <c r="C1154" s="3" t="n">
        <v>45981</v>
      </c>
      <c r="D1154" s="3" t="n">
        <v>46011</v>
      </c>
      <c r="E1154" s="4" t="n">
        <v>1259.27</v>
      </c>
      <c r="F1154">
        <f>Summary!$B$3-D1154</f>
        <v/>
      </c>
      <c r="G1154">
        <f>IF(D1154&gt;Summary!$B$3,"Current",IF(F1154&lt;=30,"0-30",IF(F1154&lt;=60,"31-60",IF(F1154&lt;=90,"61-90","90+"))))</f>
        <v/>
      </c>
    </row>
    <row r="1155">
      <c r="A1155" t="inlineStr">
        <is>
          <t>0009028272</t>
        </is>
      </c>
      <c r="B1155" t="inlineStr">
        <is>
          <t>0000100382</t>
        </is>
      </c>
      <c r="C1155" s="3" t="n">
        <v>45981</v>
      </c>
      <c r="D1155" s="3" t="n">
        <v>46026</v>
      </c>
      <c r="E1155" s="4" t="n">
        <v>1494.15</v>
      </c>
      <c r="F1155">
        <f>Summary!$B$3-D1155</f>
        <v/>
      </c>
      <c r="G1155">
        <f>IF(D1155&gt;Summary!$B$3,"Current",IF(F1155&lt;=30,"0-30",IF(F1155&lt;=60,"31-60",IF(F1155&lt;=90,"61-90","90+"))))</f>
        <v/>
      </c>
    </row>
    <row r="1156">
      <c r="A1156" t="inlineStr">
        <is>
          <t>0009028274</t>
        </is>
      </c>
      <c r="B1156" t="inlineStr">
        <is>
          <t>0000100116</t>
        </is>
      </c>
      <c r="C1156" s="3" t="n">
        <v>45978</v>
      </c>
      <c r="D1156" s="3" t="n">
        <v>46023</v>
      </c>
      <c r="E1156" s="4" t="n">
        <v>469.17</v>
      </c>
      <c r="F1156">
        <f>Summary!$B$3-D1156</f>
        <v/>
      </c>
      <c r="G1156">
        <f>IF(D1156&gt;Summary!$B$3,"Current",IF(F1156&lt;=30,"0-30",IF(F1156&lt;=60,"31-60",IF(F1156&lt;=90,"61-90","90+"))))</f>
        <v/>
      </c>
    </row>
    <row r="1157">
      <c r="A1157" t="inlineStr">
        <is>
          <t>0009028275</t>
        </is>
      </c>
      <c r="B1157" t="inlineStr">
        <is>
          <t>0000100484</t>
        </is>
      </c>
      <c r="C1157" s="3" t="n">
        <v>45981</v>
      </c>
      <c r="D1157" s="3" t="n">
        <v>46041</v>
      </c>
      <c r="E1157" s="4" t="n">
        <v>786.77</v>
      </c>
      <c r="F1157">
        <f>Summary!$B$3-D1157</f>
        <v/>
      </c>
      <c r="G1157">
        <f>IF(D1157&gt;Summary!$B$3,"Current",IF(F1157&lt;=30,"0-30",IF(F1157&lt;=60,"31-60",IF(F1157&lt;=90,"61-90","90+"))))</f>
        <v/>
      </c>
    </row>
    <row r="1158">
      <c r="A1158" t="inlineStr">
        <is>
          <t>0009028276</t>
        </is>
      </c>
      <c r="B1158" t="inlineStr">
        <is>
          <t>0000100299</t>
        </is>
      </c>
      <c r="C1158" s="3" t="n">
        <v>45978</v>
      </c>
      <c r="D1158" s="3" t="n">
        <v>46023</v>
      </c>
      <c r="E1158" s="4" t="n">
        <v>639.37</v>
      </c>
      <c r="F1158">
        <f>Summary!$B$3-D1158</f>
        <v/>
      </c>
      <c r="G1158">
        <f>IF(D1158&gt;Summary!$B$3,"Current",IF(F1158&lt;=30,"0-30",IF(F1158&lt;=60,"31-60",IF(F1158&lt;=90,"61-90","90+"))))</f>
        <v/>
      </c>
    </row>
    <row r="1159">
      <c r="A1159" t="inlineStr">
        <is>
          <t>0009028277</t>
        </is>
      </c>
      <c r="B1159" t="inlineStr">
        <is>
          <t>0000100279</t>
        </is>
      </c>
      <c r="C1159" s="3" t="n">
        <v>45983</v>
      </c>
      <c r="D1159" s="3" t="n">
        <v>46028</v>
      </c>
      <c r="E1159" s="4" t="n">
        <v>129.32</v>
      </c>
      <c r="F1159">
        <f>Summary!$B$3-D1159</f>
        <v/>
      </c>
      <c r="G1159">
        <f>IF(D1159&gt;Summary!$B$3,"Current",IF(F1159&lt;=30,"0-30",IF(F1159&lt;=60,"31-60",IF(F1159&lt;=90,"61-90","90+"))))</f>
        <v/>
      </c>
    </row>
    <row r="1160">
      <c r="A1160" t="inlineStr">
        <is>
          <t>0009028284</t>
        </is>
      </c>
      <c r="B1160" t="inlineStr">
        <is>
          <t>0000100201</t>
        </is>
      </c>
      <c r="C1160" s="3" t="n">
        <v>45985</v>
      </c>
      <c r="D1160" s="3" t="n">
        <v>46015</v>
      </c>
      <c r="E1160" s="4" t="n">
        <v>2928.37</v>
      </c>
      <c r="F1160">
        <f>Summary!$B$3-D1160</f>
        <v/>
      </c>
      <c r="G1160">
        <f>IF(D1160&gt;Summary!$B$3,"Current",IF(F1160&lt;=30,"0-30",IF(F1160&lt;=60,"31-60",IF(F1160&lt;=90,"61-90","90+"))))</f>
        <v/>
      </c>
    </row>
    <row r="1161">
      <c r="A1161" t="inlineStr">
        <is>
          <t>0009028286</t>
        </is>
      </c>
      <c r="B1161" t="inlineStr">
        <is>
          <t>0000100269</t>
        </is>
      </c>
      <c r="C1161" s="3" t="n">
        <v>45982</v>
      </c>
      <c r="D1161" s="3" t="n">
        <v>46012</v>
      </c>
      <c r="E1161" s="4" t="n">
        <v>820.3200000000001</v>
      </c>
      <c r="F1161">
        <f>Summary!$B$3-D1161</f>
        <v/>
      </c>
      <c r="G1161">
        <f>IF(D1161&gt;Summary!$B$3,"Current",IF(F1161&lt;=30,"0-30",IF(F1161&lt;=60,"31-60",IF(F1161&lt;=90,"61-90","90+"))))</f>
        <v/>
      </c>
    </row>
    <row r="1162">
      <c r="A1162" t="inlineStr">
        <is>
          <t>0009028289</t>
        </is>
      </c>
      <c r="B1162" t="inlineStr">
        <is>
          <t>0000100357</t>
        </is>
      </c>
      <c r="C1162" s="3" t="n">
        <v>45981</v>
      </c>
      <c r="D1162" s="3" t="n">
        <v>46026</v>
      </c>
      <c r="E1162" s="4" t="n">
        <v>94.98</v>
      </c>
      <c r="F1162">
        <f>Summary!$B$3-D1162</f>
        <v/>
      </c>
      <c r="G1162">
        <f>IF(D1162&gt;Summary!$B$3,"Current",IF(F1162&lt;=30,"0-30",IF(F1162&lt;=60,"31-60",IF(F1162&lt;=90,"61-90","90+"))))</f>
        <v/>
      </c>
    </row>
    <row r="1163">
      <c r="A1163" t="inlineStr">
        <is>
          <t>0009028290</t>
        </is>
      </c>
      <c r="B1163" t="inlineStr">
        <is>
          <t>0000100522</t>
        </is>
      </c>
      <c r="C1163" s="3" t="n">
        <v>45978</v>
      </c>
      <c r="D1163" s="3" t="n">
        <v>46038</v>
      </c>
      <c r="E1163" s="4" t="n">
        <v>511.51</v>
      </c>
      <c r="F1163">
        <f>Summary!$B$3-D1163</f>
        <v/>
      </c>
      <c r="G1163">
        <f>IF(D1163&gt;Summary!$B$3,"Current",IF(F1163&lt;=30,"0-30",IF(F1163&lt;=60,"31-60",IF(F1163&lt;=90,"61-90","90+"))))</f>
        <v/>
      </c>
    </row>
    <row r="1164">
      <c r="A1164" t="inlineStr">
        <is>
          <t>0009028291</t>
        </is>
      </c>
      <c r="B1164" t="inlineStr">
        <is>
          <t>0000100571</t>
        </is>
      </c>
      <c r="C1164" s="3" t="n">
        <v>45979</v>
      </c>
      <c r="D1164" s="3" t="n">
        <v>46024</v>
      </c>
      <c r="E1164" s="4" t="n">
        <v>1432.96</v>
      </c>
      <c r="F1164">
        <f>Summary!$B$3-D1164</f>
        <v/>
      </c>
      <c r="G1164">
        <f>IF(D1164&gt;Summary!$B$3,"Current",IF(F1164&lt;=30,"0-30",IF(F1164&lt;=60,"31-60",IF(F1164&lt;=90,"61-90","90+"))))</f>
        <v/>
      </c>
    </row>
    <row r="1165">
      <c r="A1165" t="inlineStr">
        <is>
          <t>0009028294</t>
        </is>
      </c>
      <c r="B1165" t="inlineStr">
        <is>
          <t>0000100253</t>
        </is>
      </c>
      <c r="C1165" s="3" t="n">
        <v>45980</v>
      </c>
      <c r="D1165" s="3" t="n">
        <v>46040</v>
      </c>
      <c r="E1165" s="4" t="n">
        <v>567.9</v>
      </c>
      <c r="F1165">
        <f>Summary!$B$3-D1165</f>
        <v/>
      </c>
      <c r="G1165">
        <f>IF(D1165&gt;Summary!$B$3,"Current",IF(F1165&lt;=30,"0-30",IF(F1165&lt;=60,"31-60",IF(F1165&lt;=90,"61-90","90+"))))</f>
        <v/>
      </c>
    </row>
    <row r="1166">
      <c r="A1166" t="inlineStr">
        <is>
          <t>0009028295</t>
        </is>
      </c>
      <c r="B1166" t="inlineStr">
        <is>
          <t>0000100299</t>
        </is>
      </c>
      <c r="C1166" s="3" t="n">
        <v>45975</v>
      </c>
      <c r="D1166" s="3" t="n">
        <v>46020</v>
      </c>
      <c r="E1166" s="4" t="n">
        <v>3954.9</v>
      </c>
      <c r="F1166">
        <f>Summary!$B$3-D1166</f>
        <v/>
      </c>
      <c r="G1166">
        <f>IF(D1166&gt;Summary!$B$3,"Current",IF(F1166&lt;=30,"0-30",IF(F1166&lt;=60,"31-60",IF(F1166&lt;=90,"61-90","90+"))))</f>
        <v/>
      </c>
    </row>
    <row r="1167">
      <c r="A1167" t="inlineStr">
        <is>
          <t>0009028296</t>
        </is>
      </c>
      <c r="B1167" t="inlineStr">
        <is>
          <t>0000100004</t>
        </is>
      </c>
      <c r="C1167" s="3" t="n">
        <v>45982</v>
      </c>
      <c r="D1167" s="3" t="n">
        <v>46042</v>
      </c>
      <c r="E1167" s="4" t="n">
        <v>167.03</v>
      </c>
      <c r="F1167">
        <f>Summary!$B$3-D1167</f>
        <v/>
      </c>
      <c r="G1167">
        <f>IF(D1167&gt;Summary!$B$3,"Current",IF(F1167&lt;=30,"0-30",IF(F1167&lt;=60,"31-60",IF(F1167&lt;=90,"61-90","90+"))))</f>
        <v/>
      </c>
    </row>
    <row r="1168">
      <c r="A1168" t="inlineStr">
        <is>
          <t>0009028297</t>
        </is>
      </c>
      <c r="B1168" t="inlineStr">
        <is>
          <t>0000100394</t>
        </is>
      </c>
      <c r="C1168" s="3" t="n">
        <v>45978</v>
      </c>
      <c r="D1168" s="3" t="n">
        <v>46038</v>
      </c>
      <c r="E1168" s="4" t="n">
        <v>132.29</v>
      </c>
      <c r="F1168">
        <f>Summary!$B$3-D1168</f>
        <v/>
      </c>
      <c r="G1168">
        <f>IF(D1168&gt;Summary!$B$3,"Current",IF(F1168&lt;=30,"0-30",IF(F1168&lt;=60,"31-60",IF(F1168&lt;=90,"61-90","90+"))))</f>
        <v/>
      </c>
    </row>
    <row r="1169">
      <c r="A1169" t="inlineStr">
        <is>
          <t>0009028298</t>
        </is>
      </c>
      <c r="B1169" t="inlineStr">
        <is>
          <t>0000100275</t>
        </is>
      </c>
      <c r="C1169" s="3" t="n">
        <v>45981</v>
      </c>
      <c r="D1169" s="3" t="n">
        <v>46041</v>
      </c>
      <c r="E1169" s="4" t="n">
        <v>567.84</v>
      </c>
      <c r="F1169">
        <f>Summary!$B$3-D1169</f>
        <v/>
      </c>
      <c r="G1169">
        <f>IF(D1169&gt;Summary!$B$3,"Current",IF(F1169&lt;=30,"0-30",IF(F1169&lt;=60,"31-60",IF(F1169&lt;=90,"61-90","90+"))))</f>
        <v/>
      </c>
    </row>
    <row r="1170">
      <c r="A1170" t="inlineStr">
        <is>
          <t>0009028299</t>
        </is>
      </c>
      <c r="B1170" t="inlineStr">
        <is>
          <t>0000100091</t>
        </is>
      </c>
      <c r="C1170" s="3" t="n">
        <v>45981</v>
      </c>
      <c r="D1170" s="3" t="n">
        <v>46041</v>
      </c>
      <c r="E1170" s="4" t="n">
        <v>41.79</v>
      </c>
      <c r="F1170">
        <f>Summary!$B$3-D1170</f>
        <v/>
      </c>
      <c r="G1170">
        <f>IF(D1170&gt;Summary!$B$3,"Current",IF(F1170&lt;=30,"0-30",IF(F1170&lt;=60,"31-60",IF(F1170&lt;=90,"61-90","90+"))))</f>
        <v/>
      </c>
    </row>
    <row r="1171">
      <c r="A1171" t="inlineStr">
        <is>
          <t>0009028300</t>
        </is>
      </c>
      <c r="B1171" t="inlineStr">
        <is>
          <t>0000100169</t>
        </is>
      </c>
      <c r="C1171" s="3" t="n">
        <v>45984</v>
      </c>
      <c r="D1171" s="3" t="n">
        <v>46029</v>
      </c>
      <c r="E1171" s="4" t="n">
        <v>509.34</v>
      </c>
      <c r="F1171">
        <f>Summary!$B$3-D1171</f>
        <v/>
      </c>
      <c r="G1171">
        <f>IF(D1171&gt;Summary!$B$3,"Current",IF(F1171&lt;=30,"0-30",IF(F1171&lt;=60,"31-60",IF(F1171&lt;=90,"61-90","90+"))))</f>
        <v/>
      </c>
    </row>
    <row r="1172">
      <c r="A1172" t="inlineStr">
        <is>
          <t>0009028301</t>
        </is>
      </c>
      <c r="B1172" t="inlineStr">
        <is>
          <t>0000100164</t>
        </is>
      </c>
      <c r="C1172" s="3" t="n">
        <v>45980</v>
      </c>
      <c r="D1172" s="3" t="n">
        <v>46040</v>
      </c>
      <c r="E1172" s="4" t="n">
        <v>567.5</v>
      </c>
      <c r="F1172">
        <f>Summary!$B$3-D1172</f>
        <v/>
      </c>
      <c r="G1172">
        <f>IF(D1172&gt;Summary!$B$3,"Current",IF(F1172&lt;=30,"0-30",IF(F1172&lt;=60,"31-60",IF(F1172&lt;=90,"61-90","90+"))))</f>
        <v/>
      </c>
    </row>
    <row r="1173">
      <c r="A1173" t="inlineStr">
        <is>
          <t>0009028302</t>
        </is>
      </c>
      <c r="B1173" t="inlineStr">
        <is>
          <t>0000100315</t>
        </is>
      </c>
      <c r="C1173" s="3" t="n">
        <v>45978</v>
      </c>
      <c r="D1173" s="3" t="n">
        <v>46038</v>
      </c>
      <c r="E1173" s="4" t="n">
        <v>2280.31</v>
      </c>
      <c r="F1173">
        <f>Summary!$B$3-D1173</f>
        <v/>
      </c>
      <c r="G1173">
        <f>IF(D1173&gt;Summary!$B$3,"Current",IF(F1173&lt;=30,"0-30",IF(F1173&lt;=60,"31-60",IF(F1173&lt;=90,"61-90","90+"))))</f>
        <v/>
      </c>
    </row>
    <row r="1174">
      <c r="A1174" t="inlineStr">
        <is>
          <t>0009028303</t>
        </is>
      </c>
      <c r="B1174" t="inlineStr">
        <is>
          <t>0000100357</t>
        </is>
      </c>
      <c r="C1174" s="3" t="n">
        <v>45988</v>
      </c>
      <c r="D1174" s="3" t="n">
        <v>46033</v>
      </c>
      <c r="E1174" s="4" t="n">
        <v>111.56</v>
      </c>
      <c r="F1174">
        <f>Summary!$B$3-D1174</f>
        <v/>
      </c>
      <c r="G1174">
        <f>IF(D1174&gt;Summary!$B$3,"Current",IF(F1174&lt;=30,"0-30",IF(F1174&lt;=60,"31-60",IF(F1174&lt;=90,"61-90","90+"))))</f>
        <v/>
      </c>
    </row>
    <row r="1175">
      <c r="A1175" t="inlineStr">
        <is>
          <t>0009028305</t>
        </is>
      </c>
      <c r="B1175" t="inlineStr">
        <is>
          <t>0000100274</t>
        </is>
      </c>
      <c r="C1175" s="3" t="n">
        <v>45980</v>
      </c>
      <c r="D1175" s="3" t="n">
        <v>46025</v>
      </c>
      <c r="E1175" s="4" t="n">
        <v>2229.04</v>
      </c>
      <c r="F1175">
        <f>Summary!$B$3-D1175</f>
        <v/>
      </c>
      <c r="G1175">
        <f>IF(D1175&gt;Summary!$B$3,"Current",IF(F1175&lt;=30,"0-30",IF(F1175&lt;=60,"31-60",IF(F1175&lt;=90,"61-90","90+"))))</f>
        <v/>
      </c>
    </row>
    <row r="1176">
      <c r="A1176" t="inlineStr">
        <is>
          <t>0009028306</t>
        </is>
      </c>
      <c r="B1176" t="inlineStr">
        <is>
          <t>0000100346</t>
        </is>
      </c>
      <c r="C1176" s="3" t="n">
        <v>45979</v>
      </c>
      <c r="D1176" s="3" t="n">
        <v>46024</v>
      </c>
      <c r="E1176" s="4" t="n">
        <v>994.01</v>
      </c>
      <c r="F1176">
        <f>Summary!$B$3-D1176</f>
        <v/>
      </c>
      <c r="G1176">
        <f>IF(D1176&gt;Summary!$B$3,"Current",IF(F1176&lt;=30,"0-30",IF(F1176&lt;=60,"31-60",IF(F1176&lt;=90,"61-90","90+"))))</f>
        <v/>
      </c>
    </row>
    <row r="1177">
      <c r="A1177" t="inlineStr">
        <is>
          <t>0009028308</t>
        </is>
      </c>
      <c r="B1177" t="inlineStr">
        <is>
          <t>0000100207</t>
        </is>
      </c>
      <c r="C1177" s="3" t="n">
        <v>45984</v>
      </c>
      <c r="D1177" s="3" t="n">
        <v>46014</v>
      </c>
      <c r="E1177" s="4" t="n">
        <v>523.09</v>
      </c>
      <c r="F1177">
        <f>Summary!$B$3-D1177</f>
        <v/>
      </c>
      <c r="G1177">
        <f>IF(D1177&gt;Summary!$B$3,"Current",IF(F1177&lt;=30,"0-30",IF(F1177&lt;=60,"31-60",IF(F1177&lt;=90,"61-90","90+"))))</f>
        <v/>
      </c>
    </row>
    <row r="1178">
      <c r="A1178" t="inlineStr">
        <is>
          <t>0009028309</t>
        </is>
      </c>
      <c r="B1178" t="inlineStr">
        <is>
          <t>0000100331</t>
        </is>
      </c>
      <c r="C1178" s="3" t="n">
        <v>45978</v>
      </c>
      <c r="D1178" s="3" t="n">
        <v>46008</v>
      </c>
      <c r="E1178" s="4" t="n">
        <v>465.52</v>
      </c>
      <c r="F1178">
        <f>Summary!$B$3-D1178</f>
        <v/>
      </c>
      <c r="G1178">
        <f>IF(D1178&gt;Summary!$B$3,"Current",IF(F1178&lt;=30,"0-30",IF(F1178&lt;=60,"31-60",IF(F1178&lt;=90,"61-90","90+"))))</f>
        <v/>
      </c>
    </row>
    <row r="1179">
      <c r="A1179" t="inlineStr">
        <is>
          <t>0009028310</t>
        </is>
      </c>
      <c r="B1179" t="inlineStr">
        <is>
          <t>0000100417</t>
        </is>
      </c>
      <c r="C1179" s="3" t="n">
        <v>45979</v>
      </c>
      <c r="D1179" s="3" t="n">
        <v>46039</v>
      </c>
      <c r="E1179" s="4" t="n">
        <v>400.35</v>
      </c>
      <c r="F1179">
        <f>Summary!$B$3-D1179</f>
        <v/>
      </c>
      <c r="G1179">
        <f>IF(D1179&gt;Summary!$B$3,"Current",IF(F1179&lt;=30,"0-30",IF(F1179&lt;=60,"31-60",IF(F1179&lt;=90,"61-90","90+"))))</f>
        <v/>
      </c>
    </row>
    <row r="1180">
      <c r="A1180" t="inlineStr">
        <is>
          <t>0009028311</t>
        </is>
      </c>
      <c r="B1180" t="inlineStr">
        <is>
          <t>0000100272</t>
        </is>
      </c>
      <c r="C1180" s="3" t="n">
        <v>45982</v>
      </c>
      <c r="D1180" s="3" t="n">
        <v>46042</v>
      </c>
      <c r="E1180" s="4" t="n">
        <v>2955.77</v>
      </c>
      <c r="F1180">
        <f>Summary!$B$3-D1180</f>
        <v/>
      </c>
      <c r="G1180">
        <f>IF(D1180&gt;Summary!$B$3,"Current",IF(F1180&lt;=30,"0-30",IF(F1180&lt;=60,"31-60",IF(F1180&lt;=90,"61-90","90+"))))</f>
        <v/>
      </c>
    </row>
    <row r="1181">
      <c r="A1181" t="inlineStr">
        <is>
          <t>0009028312</t>
        </is>
      </c>
      <c r="B1181" t="inlineStr">
        <is>
          <t>0000100185</t>
        </is>
      </c>
      <c r="C1181" s="3" t="n">
        <v>45984</v>
      </c>
      <c r="D1181" s="3" t="n">
        <v>46014</v>
      </c>
      <c r="E1181" s="4" t="n">
        <v>328.81</v>
      </c>
      <c r="F1181">
        <f>Summary!$B$3-D1181</f>
        <v/>
      </c>
      <c r="G1181">
        <f>IF(D1181&gt;Summary!$B$3,"Current",IF(F1181&lt;=30,"0-30",IF(F1181&lt;=60,"31-60",IF(F1181&lt;=90,"61-90","90+"))))</f>
        <v/>
      </c>
    </row>
    <row r="1182">
      <c r="A1182" t="inlineStr">
        <is>
          <t>0009028315</t>
        </is>
      </c>
      <c r="B1182" t="inlineStr">
        <is>
          <t>0000100348</t>
        </is>
      </c>
      <c r="C1182" s="3" t="n">
        <v>45983</v>
      </c>
      <c r="D1182" s="3" t="n">
        <v>46043</v>
      </c>
      <c r="E1182" s="4" t="n">
        <v>200.31</v>
      </c>
      <c r="F1182">
        <f>Summary!$B$3-D1182</f>
        <v/>
      </c>
      <c r="G1182">
        <f>IF(D1182&gt;Summary!$B$3,"Current",IF(F1182&lt;=30,"0-30",IF(F1182&lt;=60,"31-60",IF(F1182&lt;=90,"61-90","90+"))))</f>
        <v/>
      </c>
    </row>
    <row r="1183">
      <c r="A1183" t="inlineStr">
        <is>
          <t>0009028316</t>
        </is>
      </c>
      <c r="B1183" t="inlineStr">
        <is>
          <t>0000100382</t>
        </is>
      </c>
      <c r="C1183" s="3" t="n">
        <v>45987</v>
      </c>
      <c r="D1183" s="3" t="n">
        <v>46032</v>
      </c>
      <c r="E1183" s="4" t="n">
        <v>248.15</v>
      </c>
      <c r="F1183">
        <f>Summary!$B$3-D1183</f>
        <v/>
      </c>
      <c r="G1183">
        <f>IF(D1183&gt;Summary!$B$3,"Current",IF(F1183&lt;=30,"0-30",IF(F1183&lt;=60,"31-60",IF(F1183&lt;=90,"61-90","90+"))))</f>
        <v/>
      </c>
    </row>
    <row r="1184">
      <c r="A1184" t="inlineStr">
        <is>
          <t>0009028317</t>
        </is>
      </c>
      <c r="B1184" t="inlineStr">
        <is>
          <t>0000100543</t>
        </is>
      </c>
      <c r="C1184" s="3" t="n">
        <v>45986</v>
      </c>
      <c r="D1184" s="3" t="n">
        <v>46046</v>
      </c>
      <c r="E1184" s="4" t="n">
        <v>433.93</v>
      </c>
      <c r="F1184">
        <f>Summary!$B$3-D1184</f>
        <v/>
      </c>
      <c r="G1184">
        <f>IF(D1184&gt;Summary!$B$3,"Current",IF(F1184&lt;=30,"0-30",IF(F1184&lt;=60,"31-60",IF(F1184&lt;=90,"61-90","90+"))))</f>
        <v/>
      </c>
    </row>
    <row r="1185">
      <c r="A1185" t="inlineStr">
        <is>
          <t>0009028318</t>
        </is>
      </c>
      <c r="B1185" t="inlineStr">
        <is>
          <t>0000100293</t>
        </is>
      </c>
      <c r="C1185" s="3" t="n">
        <v>45986</v>
      </c>
      <c r="D1185" s="3" t="n">
        <v>46016</v>
      </c>
      <c r="E1185" s="4" t="n">
        <v>706.04</v>
      </c>
      <c r="F1185">
        <f>Summary!$B$3-D1185</f>
        <v/>
      </c>
      <c r="G1185">
        <f>IF(D1185&gt;Summary!$B$3,"Current",IF(F1185&lt;=30,"0-30",IF(F1185&lt;=60,"31-60",IF(F1185&lt;=90,"61-90","90+"))))</f>
        <v/>
      </c>
    </row>
    <row r="1186">
      <c r="A1186" t="inlineStr">
        <is>
          <t>0009028321</t>
        </is>
      </c>
      <c r="B1186" t="inlineStr">
        <is>
          <t>0000100258</t>
        </is>
      </c>
      <c r="C1186" s="3" t="n">
        <v>45984</v>
      </c>
      <c r="D1186" s="3" t="n">
        <v>46014</v>
      </c>
      <c r="E1186" s="4" t="n">
        <v>1491.79</v>
      </c>
      <c r="F1186">
        <f>Summary!$B$3-D1186</f>
        <v/>
      </c>
      <c r="G1186">
        <f>IF(D1186&gt;Summary!$B$3,"Current",IF(F1186&lt;=30,"0-30",IF(F1186&lt;=60,"31-60",IF(F1186&lt;=90,"61-90","90+"))))</f>
        <v/>
      </c>
    </row>
    <row r="1187">
      <c r="A1187" t="inlineStr">
        <is>
          <t>0009028323</t>
        </is>
      </c>
      <c r="B1187" t="inlineStr">
        <is>
          <t>0000100274</t>
        </is>
      </c>
      <c r="C1187" s="3" t="n">
        <v>45985</v>
      </c>
      <c r="D1187" s="3" t="n">
        <v>46030</v>
      </c>
      <c r="E1187" s="4" t="n">
        <v>917.91</v>
      </c>
      <c r="F1187">
        <f>Summary!$B$3-D1187</f>
        <v/>
      </c>
      <c r="G1187">
        <f>IF(D1187&gt;Summary!$B$3,"Current",IF(F1187&lt;=30,"0-30",IF(F1187&lt;=60,"31-60",IF(F1187&lt;=90,"61-90","90+"))))</f>
        <v/>
      </c>
    </row>
    <row r="1188">
      <c r="A1188" t="inlineStr">
        <is>
          <t>0009028324</t>
        </is>
      </c>
      <c r="B1188" t="inlineStr">
        <is>
          <t>0000100456</t>
        </is>
      </c>
      <c r="C1188" s="3" t="n">
        <v>45978</v>
      </c>
      <c r="D1188" s="3" t="n">
        <v>46038</v>
      </c>
      <c r="E1188" s="4" t="n">
        <v>1840.64</v>
      </c>
      <c r="F1188">
        <f>Summary!$B$3-D1188</f>
        <v/>
      </c>
      <c r="G1188">
        <f>IF(D1188&gt;Summary!$B$3,"Current",IF(F1188&lt;=30,"0-30",IF(F1188&lt;=60,"31-60",IF(F1188&lt;=90,"61-90","90+"))))</f>
        <v/>
      </c>
    </row>
    <row r="1189">
      <c r="A1189" t="inlineStr">
        <is>
          <t>0009028328</t>
        </is>
      </c>
      <c r="B1189" t="inlineStr">
        <is>
          <t>0000100342</t>
        </is>
      </c>
      <c r="C1189" s="3" t="n">
        <v>45979</v>
      </c>
      <c r="D1189" s="3" t="n">
        <v>46009</v>
      </c>
      <c r="E1189" s="4" t="n">
        <v>302.88</v>
      </c>
      <c r="F1189">
        <f>Summary!$B$3-D1189</f>
        <v/>
      </c>
      <c r="G1189">
        <f>IF(D1189&gt;Summary!$B$3,"Current",IF(F1189&lt;=30,"0-30",IF(F1189&lt;=60,"31-60",IF(F1189&lt;=90,"61-90","90+"))))</f>
        <v/>
      </c>
    </row>
    <row r="1190">
      <c r="A1190" t="inlineStr">
        <is>
          <t>0009028329</t>
        </is>
      </c>
      <c r="B1190" t="inlineStr">
        <is>
          <t>0000100324</t>
        </is>
      </c>
      <c r="C1190" s="3" t="n">
        <v>45981</v>
      </c>
      <c r="D1190" s="3" t="n">
        <v>46011</v>
      </c>
      <c r="E1190" s="4" t="n">
        <v>1948.67</v>
      </c>
      <c r="F1190">
        <f>Summary!$B$3-D1190</f>
        <v/>
      </c>
      <c r="G1190">
        <f>IF(D1190&gt;Summary!$B$3,"Current",IF(F1190&lt;=30,"0-30",IF(F1190&lt;=60,"31-60",IF(F1190&lt;=90,"61-90","90+"))))</f>
        <v/>
      </c>
    </row>
    <row r="1191">
      <c r="A1191" t="inlineStr">
        <is>
          <t>0009028330</t>
        </is>
      </c>
      <c r="B1191" t="inlineStr">
        <is>
          <t>0000100111</t>
        </is>
      </c>
      <c r="C1191" s="3" t="n">
        <v>45978</v>
      </c>
      <c r="D1191" s="3" t="n">
        <v>46023</v>
      </c>
      <c r="E1191" s="4" t="n">
        <v>979.9299999999999</v>
      </c>
      <c r="F1191">
        <f>Summary!$B$3-D1191</f>
        <v/>
      </c>
      <c r="G1191">
        <f>IF(D1191&gt;Summary!$B$3,"Current",IF(F1191&lt;=30,"0-30",IF(F1191&lt;=60,"31-60",IF(F1191&lt;=90,"61-90","90+"))))</f>
        <v/>
      </c>
    </row>
    <row r="1192">
      <c r="A1192" t="inlineStr">
        <is>
          <t>0009028332</t>
        </is>
      </c>
      <c r="B1192" t="inlineStr">
        <is>
          <t>0000100329</t>
        </is>
      </c>
      <c r="C1192" s="3" t="n">
        <v>45979</v>
      </c>
      <c r="D1192" s="3" t="n">
        <v>46024</v>
      </c>
      <c r="E1192" s="4" t="n">
        <v>952.6799999999999</v>
      </c>
      <c r="F1192">
        <f>Summary!$B$3-D1192</f>
        <v/>
      </c>
      <c r="G1192">
        <f>IF(D1192&gt;Summary!$B$3,"Current",IF(F1192&lt;=30,"0-30",IF(F1192&lt;=60,"31-60",IF(F1192&lt;=90,"61-90","90+"))))</f>
        <v/>
      </c>
    </row>
    <row r="1193">
      <c r="A1193" t="inlineStr">
        <is>
          <t>0009028333</t>
        </is>
      </c>
      <c r="B1193" t="inlineStr">
        <is>
          <t>0000100513</t>
        </is>
      </c>
      <c r="C1193" s="3" t="n">
        <v>45983</v>
      </c>
      <c r="D1193" s="3" t="n">
        <v>46043</v>
      </c>
      <c r="E1193" s="4" t="n">
        <v>175.62</v>
      </c>
      <c r="F1193">
        <f>Summary!$B$3-D1193</f>
        <v/>
      </c>
      <c r="G1193">
        <f>IF(D1193&gt;Summary!$B$3,"Current",IF(F1193&lt;=30,"0-30",IF(F1193&lt;=60,"31-60",IF(F1193&lt;=90,"61-90","90+"))))</f>
        <v/>
      </c>
    </row>
    <row r="1194">
      <c r="A1194" t="inlineStr">
        <is>
          <t>0009028334</t>
        </is>
      </c>
      <c r="B1194" t="inlineStr">
        <is>
          <t>0000100052</t>
        </is>
      </c>
      <c r="C1194" s="3" t="n">
        <v>45984</v>
      </c>
      <c r="D1194" s="3" t="n">
        <v>46029</v>
      </c>
      <c r="E1194" s="4" t="n">
        <v>3038.29</v>
      </c>
      <c r="F1194">
        <f>Summary!$B$3-D1194</f>
        <v/>
      </c>
      <c r="G1194">
        <f>IF(D1194&gt;Summary!$B$3,"Current",IF(F1194&lt;=30,"0-30",IF(F1194&lt;=60,"31-60",IF(F1194&lt;=90,"61-90","90+"))))</f>
        <v/>
      </c>
    </row>
    <row r="1195">
      <c r="A1195" t="inlineStr">
        <is>
          <t>0009028335</t>
        </is>
      </c>
      <c r="B1195" t="inlineStr">
        <is>
          <t>0000100348</t>
        </is>
      </c>
      <c r="C1195" s="3" t="n">
        <v>45980</v>
      </c>
      <c r="D1195" s="3" t="n">
        <v>46040</v>
      </c>
      <c r="E1195" s="4" t="n">
        <v>649.6</v>
      </c>
      <c r="F1195">
        <f>Summary!$B$3-D1195</f>
        <v/>
      </c>
      <c r="G1195">
        <f>IF(D1195&gt;Summary!$B$3,"Current",IF(F1195&lt;=30,"0-30",IF(F1195&lt;=60,"31-60",IF(F1195&lt;=90,"61-90","90+"))))</f>
        <v/>
      </c>
    </row>
    <row r="1196">
      <c r="A1196" t="inlineStr">
        <is>
          <t>0009028336</t>
        </is>
      </c>
      <c r="B1196" t="inlineStr">
        <is>
          <t>0000100004</t>
        </is>
      </c>
      <c r="C1196" s="3" t="n">
        <v>45980</v>
      </c>
      <c r="D1196" s="3" t="n">
        <v>46040</v>
      </c>
      <c r="E1196" s="4" t="n">
        <v>141.4</v>
      </c>
      <c r="F1196">
        <f>Summary!$B$3-D1196</f>
        <v/>
      </c>
      <c r="G1196">
        <f>IF(D1196&gt;Summary!$B$3,"Current",IF(F1196&lt;=30,"0-30",IF(F1196&lt;=60,"31-60",IF(F1196&lt;=90,"61-90","90+"))))</f>
        <v/>
      </c>
    </row>
    <row r="1197">
      <c r="A1197" t="inlineStr">
        <is>
          <t>0009028337</t>
        </is>
      </c>
      <c r="B1197" t="inlineStr">
        <is>
          <t>0000100105</t>
        </is>
      </c>
      <c r="C1197" s="3" t="n">
        <v>45983</v>
      </c>
      <c r="D1197" s="3" t="n">
        <v>46028</v>
      </c>
      <c r="E1197" s="4" t="n">
        <v>1173.86</v>
      </c>
      <c r="F1197">
        <f>Summary!$B$3-D1197</f>
        <v/>
      </c>
      <c r="G1197">
        <f>IF(D1197&gt;Summary!$B$3,"Current",IF(F1197&lt;=30,"0-30",IF(F1197&lt;=60,"31-60",IF(F1197&lt;=90,"61-90","90+"))))</f>
        <v/>
      </c>
    </row>
    <row r="1198">
      <c r="A1198" t="inlineStr">
        <is>
          <t>0009028339</t>
        </is>
      </c>
      <c r="B1198" t="inlineStr">
        <is>
          <t>0000100065</t>
        </is>
      </c>
      <c r="C1198" s="3" t="n">
        <v>45983</v>
      </c>
      <c r="D1198" s="3" t="n">
        <v>46028</v>
      </c>
      <c r="E1198" s="4" t="n">
        <v>683.84</v>
      </c>
      <c r="F1198">
        <f>Summary!$B$3-D1198</f>
        <v/>
      </c>
      <c r="G1198">
        <f>IF(D1198&gt;Summary!$B$3,"Current",IF(F1198&lt;=30,"0-30",IF(F1198&lt;=60,"31-60",IF(F1198&lt;=90,"61-90","90+"))))</f>
        <v/>
      </c>
    </row>
    <row r="1199">
      <c r="A1199" t="inlineStr">
        <is>
          <t>0009028340</t>
        </is>
      </c>
      <c r="B1199" t="inlineStr">
        <is>
          <t>0000100245</t>
        </is>
      </c>
      <c r="C1199" s="3" t="n">
        <v>45981</v>
      </c>
      <c r="D1199" s="3" t="n">
        <v>46041</v>
      </c>
      <c r="E1199" s="4" t="n">
        <v>998.59</v>
      </c>
      <c r="F1199">
        <f>Summary!$B$3-D1199</f>
        <v/>
      </c>
      <c r="G1199">
        <f>IF(D1199&gt;Summary!$B$3,"Current",IF(F1199&lt;=30,"0-30",IF(F1199&lt;=60,"31-60",IF(F1199&lt;=90,"61-90","90+"))))</f>
        <v/>
      </c>
    </row>
    <row r="1200">
      <c r="A1200" t="inlineStr">
        <is>
          <t>0009028342</t>
        </is>
      </c>
      <c r="B1200" t="inlineStr">
        <is>
          <t>0000100529</t>
        </is>
      </c>
      <c r="C1200" s="3" t="n">
        <v>45983</v>
      </c>
      <c r="D1200" s="3" t="n">
        <v>46043</v>
      </c>
      <c r="E1200" s="4" t="n">
        <v>2111.91</v>
      </c>
      <c r="F1200">
        <f>Summary!$B$3-D1200</f>
        <v/>
      </c>
      <c r="G1200">
        <f>IF(D1200&gt;Summary!$B$3,"Current",IF(F1200&lt;=30,"0-30",IF(F1200&lt;=60,"31-60",IF(F1200&lt;=90,"61-90","90+"))))</f>
        <v/>
      </c>
    </row>
    <row r="1201">
      <c r="A1201" t="inlineStr">
        <is>
          <t>0009028343</t>
        </is>
      </c>
      <c r="B1201" t="inlineStr">
        <is>
          <t>0000100357</t>
        </is>
      </c>
      <c r="C1201" s="3" t="n">
        <v>45993</v>
      </c>
      <c r="D1201" s="3" t="n">
        <v>46038</v>
      </c>
      <c r="E1201" s="4" t="n">
        <v>1830.01</v>
      </c>
      <c r="F1201">
        <f>Summary!$B$3-D1201</f>
        <v/>
      </c>
      <c r="G1201">
        <f>IF(D1201&gt;Summary!$B$3,"Current",IF(F1201&lt;=30,"0-30",IF(F1201&lt;=60,"31-60",IF(F1201&lt;=90,"61-90","90+"))))</f>
        <v/>
      </c>
    </row>
    <row r="1202">
      <c r="A1202" t="inlineStr">
        <is>
          <t>0009028344</t>
        </is>
      </c>
      <c r="B1202" t="inlineStr">
        <is>
          <t>0000100125</t>
        </is>
      </c>
      <c r="C1202" s="3" t="n">
        <v>45980</v>
      </c>
      <c r="D1202" s="3" t="n">
        <v>46010</v>
      </c>
      <c r="E1202" s="4" t="n">
        <v>782.76</v>
      </c>
      <c r="F1202">
        <f>Summary!$B$3-D1202</f>
        <v/>
      </c>
      <c r="G1202">
        <f>IF(D1202&gt;Summary!$B$3,"Current",IF(F1202&lt;=30,"0-30",IF(F1202&lt;=60,"31-60",IF(F1202&lt;=90,"61-90","90+"))))</f>
        <v/>
      </c>
    </row>
    <row r="1203">
      <c r="A1203" t="inlineStr">
        <is>
          <t>0009028345</t>
        </is>
      </c>
      <c r="B1203" t="inlineStr">
        <is>
          <t>0000100299</t>
        </is>
      </c>
      <c r="C1203" s="3" t="n">
        <v>45982</v>
      </c>
      <c r="D1203" s="3" t="n">
        <v>46027</v>
      </c>
      <c r="E1203" s="4" t="n">
        <v>339.73</v>
      </c>
      <c r="F1203">
        <f>Summary!$B$3-D1203</f>
        <v/>
      </c>
      <c r="G1203">
        <f>IF(D1203&gt;Summary!$B$3,"Current",IF(F1203&lt;=30,"0-30",IF(F1203&lt;=60,"31-60",IF(F1203&lt;=90,"61-90","90+"))))</f>
        <v/>
      </c>
    </row>
    <row r="1204">
      <c r="A1204" t="inlineStr">
        <is>
          <t>0009028346</t>
        </is>
      </c>
      <c r="B1204" t="inlineStr">
        <is>
          <t>0000100291</t>
        </is>
      </c>
      <c r="C1204" s="3" t="n">
        <v>45984</v>
      </c>
      <c r="D1204" s="3" t="n">
        <v>46044</v>
      </c>
      <c r="E1204" s="4" t="n">
        <v>734.0700000000001</v>
      </c>
      <c r="F1204">
        <f>Summary!$B$3-D1204</f>
        <v/>
      </c>
      <c r="G1204">
        <f>IF(D1204&gt;Summary!$B$3,"Current",IF(F1204&lt;=30,"0-30",IF(F1204&lt;=60,"31-60",IF(F1204&lt;=90,"61-90","90+"))))</f>
        <v/>
      </c>
    </row>
    <row r="1205">
      <c r="A1205" t="inlineStr">
        <is>
          <t>0009028347</t>
        </is>
      </c>
      <c r="B1205" t="inlineStr">
        <is>
          <t>0000100095</t>
        </is>
      </c>
      <c r="C1205" s="3" t="n">
        <v>45985</v>
      </c>
      <c r="D1205" s="3" t="n">
        <v>46030</v>
      </c>
      <c r="E1205" s="4" t="n">
        <v>1066.25</v>
      </c>
      <c r="F1205">
        <f>Summary!$B$3-D1205</f>
        <v/>
      </c>
      <c r="G1205">
        <f>IF(D1205&gt;Summary!$B$3,"Current",IF(F1205&lt;=30,"0-30",IF(F1205&lt;=60,"31-60",IF(F1205&lt;=90,"61-90","90+"))))</f>
        <v/>
      </c>
    </row>
    <row r="1206">
      <c r="A1206" t="inlineStr">
        <is>
          <t>0009028349</t>
        </is>
      </c>
      <c r="B1206" t="inlineStr">
        <is>
          <t>0000100339</t>
        </is>
      </c>
      <c r="C1206" s="3" t="n">
        <v>45980</v>
      </c>
      <c r="D1206" s="3" t="n">
        <v>46010</v>
      </c>
      <c r="E1206" s="4" t="n">
        <v>333.14</v>
      </c>
      <c r="F1206">
        <f>Summary!$B$3-D1206</f>
        <v/>
      </c>
      <c r="G1206">
        <f>IF(D1206&gt;Summary!$B$3,"Current",IF(F1206&lt;=30,"0-30",IF(F1206&lt;=60,"31-60",IF(F1206&lt;=90,"61-90","90+"))))</f>
        <v/>
      </c>
    </row>
    <row r="1207">
      <c r="A1207" t="inlineStr">
        <is>
          <t>0009028350</t>
        </is>
      </c>
      <c r="B1207" t="inlineStr">
        <is>
          <t>0000100442</t>
        </is>
      </c>
      <c r="C1207" s="3" t="n">
        <v>45982</v>
      </c>
      <c r="D1207" s="3" t="n">
        <v>46027</v>
      </c>
      <c r="E1207" s="4" t="n">
        <v>541.02</v>
      </c>
      <c r="F1207">
        <f>Summary!$B$3-D1207</f>
        <v/>
      </c>
      <c r="G1207">
        <f>IF(D1207&gt;Summary!$B$3,"Current",IF(F1207&lt;=30,"0-30",IF(F1207&lt;=60,"31-60",IF(F1207&lt;=90,"61-90","90+"))))</f>
        <v/>
      </c>
    </row>
    <row r="1208">
      <c r="A1208" t="inlineStr">
        <is>
          <t>0009028351</t>
        </is>
      </c>
      <c r="B1208" t="inlineStr">
        <is>
          <t>0000100261</t>
        </is>
      </c>
      <c r="C1208" s="3" t="n">
        <v>45981</v>
      </c>
      <c r="D1208" s="3" t="n">
        <v>46026</v>
      </c>
      <c r="E1208" s="4" t="n">
        <v>2930.51</v>
      </c>
      <c r="F1208">
        <f>Summary!$B$3-D1208</f>
        <v/>
      </c>
      <c r="G1208">
        <f>IF(D1208&gt;Summary!$B$3,"Current",IF(F1208&lt;=30,"0-30",IF(F1208&lt;=60,"31-60",IF(F1208&lt;=90,"61-90","90+"))))</f>
        <v/>
      </c>
    </row>
    <row r="1209">
      <c r="A1209" t="inlineStr">
        <is>
          <t>0009028352</t>
        </is>
      </c>
      <c r="B1209" t="inlineStr">
        <is>
          <t>0000100272</t>
        </is>
      </c>
      <c r="C1209" s="3" t="n">
        <v>45979</v>
      </c>
      <c r="D1209" s="3" t="n">
        <v>46039</v>
      </c>
      <c r="E1209" s="4" t="n">
        <v>4144.87</v>
      </c>
      <c r="F1209">
        <f>Summary!$B$3-D1209</f>
        <v/>
      </c>
      <c r="G1209">
        <f>IF(D1209&gt;Summary!$B$3,"Current",IF(F1209&lt;=30,"0-30",IF(F1209&lt;=60,"31-60",IF(F1209&lt;=90,"61-90","90+"))))</f>
        <v/>
      </c>
    </row>
    <row r="1210">
      <c r="A1210" t="inlineStr">
        <is>
          <t>0009028353</t>
        </is>
      </c>
      <c r="B1210" t="inlineStr">
        <is>
          <t>0000100261</t>
        </is>
      </c>
      <c r="C1210" s="3" t="n">
        <v>45977</v>
      </c>
      <c r="D1210" s="3" t="n">
        <v>46022</v>
      </c>
      <c r="E1210" s="4" t="n">
        <v>1679.71</v>
      </c>
      <c r="F1210">
        <f>Summary!$B$3-D1210</f>
        <v/>
      </c>
      <c r="G1210">
        <f>IF(D1210&gt;Summary!$B$3,"Current",IF(F1210&lt;=30,"0-30",IF(F1210&lt;=60,"31-60",IF(F1210&lt;=90,"61-90","90+"))))</f>
        <v/>
      </c>
    </row>
    <row r="1211">
      <c r="A1211" t="inlineStr">
        <is>
          <t>0009028354</t>
        </is>
      </c>
      <c r="B1211" t="inlineStr">
        <is>
          <t>0000100345</t>
        </is>
      </c>
      <c r="C1211" s="3" t="n">
        <v>45981</v>
      </c>
      <c r="D1211" s="3" t="n">
        <v>46011</v>
      </c>
      <c r="E1211" s="4" t="n">
        <v>5724.73</v>
      </c>
      <c r="F1211">
        <f>Summary!$B$3-D1211</f>
        <v/>
      </c>
      <c r="G1211">
        <f>IF(D1211&gt;Summary!$B$3,"Current",IF(F1211&lt;=30,"0-30",IF(F1211&lt;=60,"31-60",IF(F1211&lt;=90,"61-90","90+"))))</f>
        <v/>
      </c>
    </row>
    <row r="1212">
      <c r="A1212" t="inlineStr">
        <is>
          <t>0009028356</t>
        </is>
      </c>
      <c r="B1212" t="inlineStr">
        <is>
          <t>0000100465</t>
        </is>
      </c>
      <c r="C1212" s="3" t="n">
        <v>45980</v>
      </c>
      <c r="D1212" s="3" t="n">
        <v>46040</v>
      </c>
      <c r="E1212" s="4" t="n">
        <v>1971.17</v>
      </c>
      <c r="F1212">
        <f>Summary!$B$3-D1212</f>
        <v/>
      </c>
      <c r="G1212">
        <f>IF(D1212&gt;Summary!$B$3,"Current",IF(F1212&lt;=30,"0-30",IF(F1212&lt;=60,"31-60",IF(F1212&lt;=90,"61-90","90+"))))</f>
        <v/>
      </c>
    </row>
    <row r="1213">
      <c r="A1213" t="inlineStr">
        <is>
          <t>0009028357</t>
        </is>
      </c>
      <c r="B1213" t="inlineStr">
        <is>
          <t>0000100073</t>
        </is>
      </c>
      <c r="C1213" s="3" t="n">
        <v>45982</v>
      </c>
      <c r="D1213" s="3" t="n">
        <v>46027</v>
      </c>
      <c r="E1213" s="4" t="n">
        <v>169.1</v>
      </c>
      <c r="F1213">
        <f>Summary!$B$3-D1213</f>
        <v/>
      </c>
      <c r="G1213">
        <f>IF(D1213&gt;Summary!$B$3,"Current",IF(F1213&lt;=30,"0-30",IF(F1213&lt;=60,"31-60",IF(F1213&lt;=90,"61-90","90+"))))</f>
        <v/>
      </c>
    </row>
    <row r="1214">
      <c r="A1214" t="inlineStr">
        <is>
          <t>0009028358</t>
        </is>
      </c>
      <c r="B1214" t="inlineStr">
        <is>
          <t>0000100473</t>
        </is>
      </c>
      <c r="C1214" s="3" t="n">
        <v>45984</v>
      </c>
      <c r="D1214" s="3" t="n">
        <v>46044</v>
      </c>
      <c r="E1214" s="4" t="n">
        <v>197.9</v>
      </c>
      <c r="F1214">
        <f>Summary!$B$3-D1214</f>
        <v/>
      </c>
      <c r="G1214">
        <f>IF(D1214&gt;Summary!$B$3,"Current",IF(F1214&lt;=30,"0-30",IF(F1214&lt;=60,"31-60",IF(F1214&lt;=90,"61-90","90+"))))</f>
        <v/>
      </c>
    </row>
    <row r="1215">
      <c r="A1215" t="inlineStr">
        <is>
          <t>0009028360</t>
        </is>
      </c>
      <c r="B1215" t="inlineStr">
        <is>
          <t>0000100563</t>
        </is>
      </c>
      <c r="C1215" s="3" t="n">
        <v>45980</v>
      </c>
      <c r="D1215" s="3" t="n">
        <v>46010</v>
      </c>
      <c r="E1215" s="4" t="n">
        <v>761.04</v>
      </c>
      <c r="F1215">
        <f>Summary!$B$3-D1215</f>
        <v/>
      </c>
      <c r="G1215">
        <f>IF(D1215&gt;Summary!$B$3,"Current",IF(F1215&lt;=30,"0-30",IF(F1215&lt;=60,"31-60",IF(F1215&lt;=90,"61-90","90+"))))</f>
        <v/>
      </c>
    </row>
    <row r="1216">
      <c r="A1216" t="inlineStr">
        <is>
          <t>0009028361</t>
        </is>
      </c>
      <c r="B1216" t="inlineStr">
        <is>
          <t>0000100240</t>
        </is>
      </c>
      <c r="C1216" s="3" t="n">
        <v>45986</v>
      </c>
      <c r="D1216" s="3" t="n">
        <v>46016</v>
      </c>
      <c r="E1216" s="4" t="n">
        <v>147.6</v>
      </c>
      <c r="F1216">
        <f>Summary!$B$3-D1216</f>
        <v/>
      </c>
      <c r="G1216">
        <f>IF(D1216&gt;Summary!$B$3,"Current",IF(F1216&lt;=30,"0-30",IF(F1216&lt;=60,"31-60",IF(F1216&lt;=90,"61-90","90+"))))</f>
        <v/>
      </c>
    </row>
    <row r="1217">
      <c r="A1217" t="inlineStr">
        <is>
          <t>0009028362</t>
        </is>
      </c>
      <c r="B1217" t="inlineStr">
        <is>
          <t>0000100126</t>
        </is>
      </c>
      <c r="C1217" s="3" t="n">
        <v>45982</v>
      </c>
      <c r="D1217" s="3" t="n">
        <v>46012</v>
      </c>
      <c r="E1217" s="4" t="n">
        <v>359.7</v>
      </c>
      <c r="F1217">
        <f>Summary!$B$3-D1217</f>
        <v/>
      </c>
      <c r="G1217">
        <f>IF(D1217&gt;Summary!$B$3,"Current",IF(F1217&lt;=30,"0-30",IF(F1217&lt;=60,"31-60",IF(F1217&lt;=90,"61-90","90+"))))</f>
        <v/>
      </c>
    </row>
    <row r="1218">
      <c r="A1218" t="inlineStr">
        <is>
          <t>0009028363</t>
        </is>
      </c>
      <c r="B1218" t="inlineStr">
        <is>
          <t>0000100563</t>
        </is>
      </c>
      <c r="C1218" s="3" t="n">
        <v>45983</v>
      </c>
      <c r="D1218" s="3" t="n">
        <v>46013</v>
      </c>
      <c r="E1218" s="4" t="n">
        <v>256.54</v>
      </c>
      <c r="F1218">
        <f>Summary!$B$3-D1218</f>
        <v/>
      </c>
      <c r="G1218">
        <f>IF(D1218&gt;Summary!$B$3,"Current",IF(F1218&lt;=30,"0-30",IF(F1218&lt;=60,"31-60",IF(F1218&lt;=90,"61-90","90+"))))</f>
        <v/>
      </c>
    </row>
    <row r="1219">
      <c r="A1219" t="inlineStr">
        <is>
          <t>0009028367</t>
        </is>
      </c>
      <c r="B1219" t="inlineStr">
        <is>
          <t>0000100269</t>
        </is>
      </c>
      <c r="C1219" s="3" t="n">
        <v>45987</v>
      </c>
      <c r="D1219" s="3" t="n">
        <v>46017</v>
      </c>
      <c r="E1219" s="4" t="n">
        <v>414.64</v>
      </c>
      <c r="F1219">
        <f>Summary!$B$3-D1219</f>
        <v/>
      </c>
      <c r="G1219">
        <f>IF(D1219&gt;Summary!$B$3,"Current",IF(F1219&lt;=30,"0-30",IF(F1219&lt;=60,"31-60",IF(F1219&lt;=90,"61-90","90+"))))</f>
        <v/>
      </c>
    </row>
    <row r="1220">
      <c r="A1220" t="inlineStr">
        <is>
          <t>0009028368</t>
        </is>
      </c>
      <c r="B1220" t="inlineStr">
        <is>
          <t>0000100450</t>
        </is>
      </c>
      <c r="C1220" s="3" t="n">
        <v>45985</v>
      </c>
      <c r="D1220" s="3" t="n">
        <v>46030</v>
      </c>
      <c r="E1220" s="4" t="n">
        <v>1610.5</v>
      </c>
      <c r="F1220">
        <f>Summary!$B$3-D1220</f>
        <v/>
      </c>
      <c r="G1220">
        <f>IF(D1220&gt;Summary!$B$3,"Current",IF(F1220&lt;=30,"0-30",IF(F1220&lt;=60,"31-60",IF(F1220&lt;=90,"61-90","90+"))))</f>
        <v/>
      </c>
    </row>
    <row r="1221">
      <c r="A1221" t="inlineStr">
        <is>
          <t>0009028372</t>
        </is>
      </c>
      <c r="B1221" t="inlineStr">
        <is>
          <t>0000100313</t>
        </is>
      </c>
      <c r="C1221" s="3" t="n">
        <v>45980</v>
      </c>
      <c r="D1221" s="3" t="n">
        <v>46040</v>
      </c>
      <c r="E1221" s="4" t="n">
        <v>2371.86</v>
      </c>
      <c r="F1221">
        <f>Summary!$B$3-D1221</f>
        <v/>
      </c>
      <c r="G1221">
        <f>IF(D1221&gt;Summary!$B$3,"Current",IF(F1221&lt;=30,"0-30",IF(F1221&lt;=60,"31-60",IF(F1221&lt;=90,"61-90","90+"))))</f>
        <v/>
      </c>
    </row>
    <row r="1222">
      <c r="A1222" t="inlineStr">
        <is>
          <t>0009028373</t>
        </is>
      </c>
      <c r="B1222" t="inlineStr">
        <is>
          <t>0000100543</t>
        </is>
      </c>
      <c r="C1222" s="3" t="n">
        <v>45983</v>
      </c>
      <c r="D1222" s="3" t="n">
        <v>46043</v>
      </c>
      <c r="E1222" s="4" t="n">
        <v>925.8</v>
      </c>
      <c r="F1222">
        <f>Summary!$B$3-D1222</f>
        <v/>
      </c>
      <c r="G1222">
        <f>IF(D1222&gt;Summary!$B$3,"Current",IF(F1222&lt;=30,"0-30",IF(F1222&lt;=60,"31-60",IF(F1222&lt;=90,"61-90","90+"))))</f>
        <v/>
      </c>
    </row>
    <row r="1223">
      <c r="A1223" t="inlineStr">
        <is>
          <t>0009028374</t>
        </is>
      </c>
      <c r="B1223" t="inlineStr">
        <is>
          <t>0000100274</t>
        </is>
      </c>
      <c r="C1223" s="3" t="n">
        <v>45984</v>
      </c>
      <c r="D1223" s="3" t="n">
        <v>46029</v>
      </c>
      <c r="E1223" s="4" t="n">
        <v>2387.97</v>
      </c>
      <c r="F1223">
        <f>Summary!$B$3-D1223</f>
        <v/>
      </c>
      <c r="G1223">
        <f>IF(D1223&gt;Summary!$B$3,"Current",IF(F1223&lt;=30,"0-30",IF(F1223&lt;=60,"31-60",IF(F1223&lt;=90,"61-90","90+"))))</f>
        <v/>
      </c>
    </row>
    <row r="1224">
      <c r="A1224" t="inlineStr">
        <is>
          <t>0009028375</t>
        </is>
      </c>
      <c r="B1224" t="inlineStr">
        <is>
          <t>0000100201</t>
        </is>
      </c>
      <c r="C1224" s="3" t="n">
        <v>45985</v>
      </c>
      <c r="D1224" s="3" t="n">
        <v>46015</v>
      </c>
      <c r="E1224" s="4" t="n">
        <v>114.98</v>
      </c>
      <c r="F1224">
        <f>Summary!$B$3-D1224</f>
        <v/>
      </c>
      <c r="G1224">
        <f>IF(D1224&gt;Summary!$B$3,"Current",IF(F1224&lt;=30,"0-30",IF(F1224&lt;=60,"31-60",IF(F1224&lt;=90,"61-90","90+"))))</f>
        <v/>
      </c>
    </row>
    <row r="1225">
      <c r="A1225" t="inlineStr">
        <is>
          <t>0009028376</t>
        </is>
      </c>
      <c r="B1225" t="inlineStr">
        <is>
          <t>0000100312</t>
        </is>
      </c>
      <c r="C1225" s="3" t="n">
        <v>45981</v>
      </c>
      <c r="D1225" s="3" t="n">
        <v>46041</v>
      </c>
      <c r="E1225" s="4" t="n">
        <v>1985.43</v>
      </c>
      <c r="F1225">
        <f>Summary!$B$3-D1225</f>
        <v/>
      </c>
      <c r="G1225">
        <f>IF(D1225&gt;Summary!$B$3,"Current",IF(F1225&lt;=30,"0-30",IF(F1225&lt;=60,"31-60",IF(F1225&lt;=90,"61-90","90+"))))</f>
        <v/>
      </c>
    </row>
    <row r="1226">
      <c r="A1226" t="inlineStr">
        <is>
          <t>0009028378</t>
        </is>
      </c>
      <c r="B1226" t="inlineStr">
        <is>
          <t>0000100007</t>
        </is>
      </c>
      <c r="C1226" s="3" t="n">
        <v>45978</v>
      </c>
      <c r="D1226" s="3" t="n">
        <v>46008</v>
      </c>
      <c r="E1226" s="4" t="n">
        <v>3413</v>
      </c>
      <c r="F1226">
        <f>Summary!$B$3-D1226</f>
        <v/>
      </c>
      <c r="G1226">
        <f>IF(D1226&gt;Summary!$B$3,"Current",IF(F1226&lt;=30,"0-30",IF(F1226&lt;=60,"31-60",IF(F1226&lt;=90,"61-90","90+"))))</f>
        <v/>
      </c>
    </row>
    <row r="1227">
      <c r="A1227" t="inlineStr">
        <is>
          <t>0009028379</t>
        </is>
      </c>
      <c r="B1227" t="inlineStr">
        <is>
          <t>0000100070</t>
        </is>
      </c>
      <c r="C1227" s="3" t="n">
        <v>45983</v>
      </c>
      <c r="D1227" s="3" t="n">
        <v>46013</v>
      </c>
      <c r="E1227" s="4" t="n">
        <v>1820.85</v>
      </c>
      <c r="F1227">
        <f>Summary!$B$3-D1227</f>
        <v/>
      </c>
      <c r="G1227">
        <f>IF(D1227&gt;Summary!$B$3,"Current",IF(F1227&lt;=30,"0-30",IF(F1227&lt;=60,"31-60",IF(F1227&lt;=90,"61-90","90+"))))</f>
        <v/>
      </c>
    </row>
    <row r="1228">
      <c r="A1228" t="inlineStr">
        <is>
          <t>0009028381</t>
        </is>
      </c>
      <c r="B1228" t="inlineStr">
        <is>
          <t>0000100206</t>
        </is>
      </c>
      <c r="C1228" s="3" t="n">
        <v>45981</v>
      </c>
      <c r="D1228" s="3" t="n">
        <v>46026</v>
      </c>
      <c r="E1228" s="4" t="n">
        <v>1434.69</v>
      </c>
      <c r="F1228">
        <f>Summary!$B$3-D1228</f>
        <v/>
      </c>
      <c r="G1228">
        <f>IF(D1228&gt;Summary!$B$3,"Current",IF(F1228&lt;=30,"0-30",IF(F1228&lt;=60,"31-60",IF(F1228&lt;=90,"61-90","90+"))))</f>
        <v/>
      </c>
    </row>
    <row r="1229">
      <c r="A1229" t="inlineStr">
        <is>
          <t>0009028383</t>
        </is>
      </c>
      <c r="B1229" t="inlineStr">
        <is>
          <t>0000100249</t>
        </is>
      </c>
      <c r="C1229" s="3" t="n">
        <v>45982</v>
      </c>
      <c r="D1229" s="3" t="n">
        <v>46042</v>
      </c>
      <c r="E1229" s="4" t="n">
        <v>344.17</v>
      </c>
      <c r="F1229">
        <f>Summary!$B$3-D1229</f>
        <v/>
      </c>
      <c r="G1229">
        <f>IF(D1229&gt;Summary!$B$3,"Current",IF(F1229&lt;=30,"0-30",IF(F1229&lt;=60,"31-60",IF(F1229&lt;=90,"61-90","90+"))))</f>
        <v/>
      </c>
    </row>
    <row r="1230">
      <c r="A1230" t="inlineStr">
        <is>
          <t>0009028384</t>
        </is>
      </c>
      <c r="B1230" t="inlineStr">
        <is>
          <t>0000100416</t>
        </is>
      </c>
      <c r="C1230" s="3" t="n">
        <v>45983</v>
      </c>
      <c r="D1230" s="3" t="n">
        <v>46028</v>
      </c>
      <c r="E1230" s="4" t="n">
        <v>582.46</v>
      </c>
      <c r="F1230">
        <f>Summary!$B$3-D1230</f>
        <v/>
      </c>
      <c r="G1230">
        <f>IF(D1230&gt;Summary!$B$3,"Current",IF(F1230&lt;=30,"0-30",IF(F1230&lt;=60,"31-60",IF(F1230&lt;=90,"61-90","90+"))))</f>
        <v/>
      </c>
    </row>
    <row r="1231">
      <c r="A1231" t="inlineStr">
        <is>
          <t>0009028385</t>
        </is>
      </c>
      <c r="B1231" t="inlineStr">
        <is>
          <t>0000100360</t>
        </is>
      </c>
      <c r="C1231" s="3" t="n">
        <v>45986</v>
      </c>
      <c r="D1231" s="3" t="n">
        <v>46031</v>
      </c>
      <c r="E1231" s="4" t="n">
        <v>120.61</v>
      </c>
      <c r="F1231">
        <f>Summary!$B$3-D1231</f>
        <v/>
      </c>
      <c r="G1231">
        <f>IF(D1231&gt;Summary!$B$3,"Current",IF(F1231&lt;=30,"0-30",IF(F1231&lt;=60,"31-60",IF(F1231&lt;=90,"61-90","90+"))))</f>
        <v/>
      </c>
    </row>
    <row r="1232">
      <c r="A1232" t="inlineStr">
        <is>
          <t>0009028386</t>
        </is>
      </c>
      <c r="B1232" t="inlineStr">
        <is>
          <t>0000100320</t>
        </is>
      </c>
      <c r="C1232" s="3" t="n">
        <v>45987</v>
      </c>
      <c r="D1232" s="3" t="n">
        <v>46017</v>
      </c>
      <c r="E1232" s="4" t="n">
        <v>608.02</v>
      </c>
      <c r="F1232">
        <f>Summary!$B$3-D1232</f>
        <v/>
      </c>
      <c r="G1232">
        <f>IF(D1232&gt;Summary!$B$3,"Current",IF(F1232&lt;=30,"0-30",IF(F1232&lt;=60,"31-60",IF(F1232&lt;=90,"61-90","90+"))))</f>
        <v/>
      </c>
    </row>
    <row r="1233">
      <c r="A1233" t="inlineStr">
        <is>
          <t>0009028387</t>
        </is>
      </c>
      <c r="B1233" t="inlineStr">
        <is>
          <t>0000100382</t>
        </is>
      </c>
      <c r="C1233" s="3" t="n">
        <v>45985</v>
      </c>
      <c r="D1233" s="3" t="n">
        <v>46030</v>
      </c>
      <c r="E1233" s="4" t="n">
        <v>252.92</v>
      </c>
      <c r="F1233">
        <f>Summary!$B$3-D1233</f>
        <v/>
      </c>
      <c r="G1233">
        <f>IF(D1233&gt;Summary!$B$3,"Current",IF(F1233&lt;=30,"0-30",IF(F1233&lt;=60,"31-60",IF(F1233&lt;=90,"61-90","90+"))))</f>
        <v/>
      </c>
    </row>
    <row r="1234">
      <c r="A1234" t="inlineStr">
        <is>
          <t>0009028390</t>
        </is>
      </c>
      <c r="B1234" t="inlineStr">
        <is>
          <t>0000100344</t>
        </is>
      </c>
      <c r="C1234" s="3" t="n">
        <v>45982</v>
      </c>
      <c r="D1234" s="3" t="n">
        <v>46012</v>
      </c>
      <c r="E1234" s="4" t="n">
        <v>1490.72</v>
      </c>
      <c r="F1234">
        <f>Summary!$B$3-D1234</f>
        <v/>
      </c>
      <c r="G1234">
        <f>IF(D1234&gt;Summary!$B$3,"Current",IF(F1234&lt;=30,"0-30",IF(F1234&lt;=60,"31-60",IF(F1234&lt;=90,"61-90","90+"))))</f>
        <v/>
      </c>
    </row>
    <row r="1235">
      <c r="A1235" t="inlineStr">
        <is>
          <t>0009028391</t>
        </is>
      </c>
      <c r="B1235" t="inlineStr">
        <is>
          <t>0000100566</t>
        </is>
      </c>
      <c r="C1235" s="3" t="n">
        <v>45991</v>
      </c>
      <c r="D1235" s="3" t="n">
        <v>46051</v>
      </c>
      <c r="E1235" s="4" t="n">
        <v>1772.4</v>
      </c>
      <c r="F1235">
        <f>Summary!$B$3-D1235</f>
        <v/>
      </c>
      <c r="G1235">
        <f>IF(D1235&gt;Summary!$B$3,"Current",IF(F1235&lt;=30,"0-30",IF(F1235&lt;=60,"31-60",IF(F1235&lt;=90,"61-90","90+"))))</f>
        <v/>
      </c>
    </row>
    <row r="1236">
      <c r="A1236" t="inlineStr">
        <is>
          <t>0009028392</t>
        </is>
      </c>
      <c r="B1236" t="inlineStr">
        <is>
          <t>0000100116</t>
        </is>
      </c>
      <c r="C1236" s="3" t="n">
        <v>45984</v>
      </c>
      <c r="D1236" s="3" t="n">
        <v>46029</v>
      </c>
      <c r="E1236" s="4" t="n">
        <v>74.92</v>
      </c>
      <c r="F1236">
        <f>Summary!$B$3-D1236</f>
        <v/>
      </c>
      <c r="G1236">
        <f>IF(D1236&gt;Summary!$B$3,"Current",IF(F1236&lt;=30,"0-30",IF(F1236&lt;=60,"31-60",IF(F1236&lt;=90,"61-90","90+"))))</f>
        <v/>
      </c>
    </row>
    <row r="1237">
      <c r="A1237" t="inlineStr">
        <is>
          <t>0009028395</t>
        </is>
      </c>
      <c r="B1237" t="inlineStr">
        <is>
          <t>0000100095</t>
        </is>
      </c>
      <c r="C1237" s="3" t="n">
        <v>45979</v>
      </c>
      <c r="D1237" s="3" t="n">
        <v>46024</v>
      </c>
      <c r="E1237" s="4" t="n">
        <v>4788.58</v>
      </c>
      <c r="F1237">
        <f>Summary!$B$3-D1237</f>
        <v/>
      </c>
      <c r="G1237">
        <f>IF(D1237&gt;Summary!$B$3,"Current",IF(F1237&lt;=30,"0-30",IF(F1237&lt;=60,"31-60",IF(F1237&lt;=90,"61-90","90+"))))</f>
        <v/>
      </c>
    </row>
    <row r="1238">
      <c r="A1238" t="inlineStr">
        <is>
          <t>0009028397</t>
        </is>
      </c>
      <c r="B1238" t="inlineStr">
        <is>
          <t>0000100348</t>
        </is>
      </c>
      <c r="C1238" s="3" t="n">
        <v>45981</v>
      </c>
      <c r="D1238" s="3" t="n">
        <v>46041</v>
      </c>
      <c r="E1238" s="4" t="n">
        <v>2090.7</v>
      </c>
      <c r="F1238">
        <f>Summary!$B$3-D1238</f>
        <v/>
      </c>
      <c r="G1238">
        <f>IF(D1238&gt;Summary!$B$3,"Current",IF(F1238&lt;=30,"0-30",IF(F1238&lt;=60,"31-60",IF(F1238&lt;=90,"61-90","90+"))))</f>
        <v/>
      </c>
    </row>
    <row r="1239">
      <c r="A1239" t="inlineStr">
        <is>
          <t>0009028398</t>
        </is>
      </c>
      <c r="B1239" t="inlineStr">
        <is>
          <t>0000100290</t>
        </is>
      </c>
      <c r="C1239" s="3" t="n">
        <v>45981</v>
      </c>
      <c r="D1239" s="3" t="n">
        <v>46011</v>
      </c>
      <c r="E1239" s="4" t="n">
        <v>343.4</v>
      </c>
      <c r="F1239">
        <f>Summary!$B$3-D1239</f>
        <v/>
      </c>
      <c r="G1239">
        <f>IF(D1239&gt;Summary!$B$3,"Current",IF(F1239&lt;=30,"0-30",IF(F1239&lt;=60,"31-60",IF(F1239&lt;=90,"61-90","90+"))))</f>
        <v/>
      </c>
    </row>
    <row r="1240">
      <c r="A1240" t="inlineStr">
        <is>
          <t>0009028400</t>
        </is>
      </c>
      <c r="B1240" t="inlineStr">
        <is>
          <t>0000100002</t>
        </is>
      </c>
      <c r="C1240" s="3" t="n">
        <v>45978</v>
      </c>
      <c r="D1240" s="3" t="n">
        <v>46038</v>
      </c>
      <c r="E1240" s="4" t="n">
        <v>1565.4</v>
      </c>
      <c r="F1240">
        <f>Summary!$B$3-D1240</f>
        <v/>
      </c>
      <c r="G1240">
        <f>IF(D1240&gt;Summary!$B$3,"Current",IF(F1240&lt;=30,"0-30",IF(F1240&lt;=60,"31-60",IF(F1240&lt;=90,"61-90","90+"))))</f>
        <v/>
      </c>
    </row>
    <row r="1241">
      <c r="A1241" t="inlineStr">
        <is>
          <t>0009028401</t>
        </is>
      </c>
      <c r="B1241" t="inlineStr">
        <is>
          <t>0000100203</t>
        </is>
      </c>
      <c r="C1241" s="3" t="n">
        <v>45979</v>
      </c>
      <c r="D1241" s="3" t="n">
        <v>46024</v>
      </c>
      <c r="E1241" s="4" t="n">
        <v>2655.94</v>
      </c>
      <c r="F1241">
        <f>Summary!$B$3-D1241</f>
        <v/>
      </c>
      <c r="G1241">
        <f>IF(D1241&gt;Summary!$B$3,"Current",IF(F1241&lt;=30,"0-30",IF(F1241&lt;=60,"31-60",IF(F1241&lt;=90,"61-90","90+"))))</f>
        <v/>
      </c>
    </row>
    <row r="1242">
      <c r="A1242" t="inlineStr">
        <is>
          <t>0009028404</t>
        </is>
      </c>
      <c r="B1242" t="inlineStr">
        <is>
          <t>0000100009</t>
        </is>
      </c>
      <c r="C1242" s="3" t="n">
        <v>45983</v>
      </c>
      <c r="D1242" s="3" t="n">
        <v>46013</v>
      </c>
      <c r="E1242" s="4" t="n">
        <v>326.21</v>
      </c>
      <c r="F1242">
        <f>Summary!$B$3-D1242</f>
        <v/>
      </c>
      <c r="G1242">
        <f>IF(D1242&gt;Summary!$B$3,"Current",IF(F1242&lt;=30,"0-30",IF(F1242&lt;=60,"31-60",IF(F1242&lt;=90,"61-90","90+"))))</f>
        <v/>
      </c>
    </row>
    <row r="1243">
      <c r="A1243" t="inlineStr">
        <is>
          <t>0009028409</t>
        </is>
      </c>
      <c r="B1243" t="inlineStr">
        <is>
          <t>0000100429</t>
        </is>
      </c>
      <c r="C1243" s="3" t="n">
        <v>45986</v>
      </c>
      <c r="D1243" s="3" t="n">
        <v>46016</v>
      </c>
      <c r="E1243" s="4" t="n">
        <v>5195.86</v>
      </c>
      <c r="F1243">
        <f>Summary!$B$3-D1243</f>
        <v/>
      </c>
      <c r="G1243">
        <f>IF(D1243&gt;Summary!$B$3,"Current",IF(F1243&lt;=30,"0-30",IF(F1243&lt;=60,"31-60",IF(F1243&lt;=90,"61-90","90+"))))</f>
        <v/>
      </c>
    </row>
    <row r="1244">
      <c r="A1244" t="inlineStr">
        <is>
          <t>0009028410</t>
        </is>
      </c>
      <c r="B1244" t="inlineStr">
        <is>
          <t>0000100354</t>
        </is>
      </c>
      <c r="C1244" s="3" t="n">
        <v>45988</v>
      </c>
      <c r="D1244" s="3" t="n">
        <v>46048</v>
      </c>
      <c r="E1244" s="4" t="n">
        <v>1666.15</v>
      </c>
      <c r="F1244">
        <f>Summary!$B$3-D1244</f>
        <v/>
      </c>
      <c r="G1244">
        <f>IF(D1244&gt;Summary!$B$3,"Current",IF(F1244&lt;=30,"0-30",IF(F1244&lt;=60,"31-60",IF(F1244&lt;=90,"61-90","90+"))))</f>
        <v/>
      </c>
    </row>
    <row r="1245">
      <c r="A1245" t="inlineStr">
        <is>
          <t>0009028412</t>
        </is>
      </c>
      <c r="B1245" t="inlineStr">
        <is>
          <t>0000100253</t>
        </is>
      </c>
      <c r="C1245" s="3" t="n">
        <v>45986</v>
      </c>
      <c r="D1245" s="3" t="n">
        <v>46046</v>
      </c>
      <c r="E1245" s="4" t="n">
        <v>589.5</v>
      </c>
      <c r="F1245">
        <f>Summary!$B$3-D1245</f>
        <v/>
      </c>
      <c r="G1245">
        <f>IF(D1245&gt;Summary!$B$3,"Current",IF(F1245&lt;=30,"0-30",IF(F1245&lt;=60,"31-60",IF(F1245&lt;=90,"61-90","90+"))))</f>
        <v/>
      </c>
    </row>
    <row r="1246">
      <c r="A1246" t="inlineStr">
        <is>
          <t>0009028413</t>
        </is>
      </c>
      <c r="B1246" t="inlineStr">
        <is>
          <t>0000100362</t>
        </is>
      </c>
      <c r="C1246" s="3" t="n">
        <v>45989</v>
      </c>
      <c r="D1246" s="3" t="n">
        <v>46019</v>
      </c>
      <c r="E1246" s="4" t="n">
        <v>2310.88</v>
      </c>
      <c r="F1246">
        <f>Summary!$B$3-D1246</f>
        <v/>
      </c>
      <c r="G1246">
        <f>IF(D1246&gt;Summary!$B$3,"Current",IF(F1246&lt;=30,"0-30",IF(F1246&lt;=60,"31-60",IF(F1246&lt;=90,"61-90","90+"))))</f>
        <v/>
      </c>
    </row>
    <row r="1247">
      <c r="A1247" t="inlineStr">
        <is>
          <t>0009028414</t>
        </is>
      </c>
      <c r="B1247" t="inlineStr">
        <is>
          <t>0000100563</t>
        </is>
      </c>
      <c r="C1247" s="3" t="n">
        <v>45986</v>
      </c>
      <c r="D1247" s="3" t="n">
        <v>46016</v>
      </c>
      <c r="E1247" s="4" t="n">
        <v>5480.09</v>
      </c>
      <c r="F1247">
        <f>Summary!$B$3-D1247</f>
        <v/>
      </c>
      <c r="G1247">
        <f>IF(D1247&gt;Summary!$B$3,"Current",IF(F1247&lt;=30,"0-30",IF(F1247&lt;=60,"31-60",IF(F1247&lt;=90,"61-90","90+"))))</f>
        <v/>
      </c>
    </row>
    <row r="1248">
      <c r="A1248" t="inlineStr">
        <is>
          <t>0009028416</t>
        </is>
      </c>
      <c r="B1248" t="inlineStr">
        <is>
          <t>0000100185</t>
        </is>
      </c>
      <c r="C1248" s="3" t="n">
        <v>45983</v>
      </c>
      <c r="D1248" s="3" t="n">
        <v>46013</v>
      </c>
      <c r="E1248" s="4" t="n">
        <v>176.72</v>
      </c>
      <c r="F1248">
        <f>Summary!$B$3-D1248</f>
        <v/>
      </c>
      <c r="G1248">
        <f>IF(D1248&gt;Summary!$B$3,"Current",IF(F1248&lt;=30,"0-30",IF(F1248&lt;=60,"31-60",IF(F1248&lt;=90,"61-90","90+"))))</f>
        <v/>
      </c>
    </row>
    <row r="1249">
      <c r="A1249" t="inlineStr">
        <is>
          <t>0009028418</t>
        </is>
      </c>
      <c r="B1249" t="inlineStr">
        <is>
          <t>0000100095</t>
        </is>
      </c>
      <c r="C1249" s="3" t="n">
        <v>45988</v>
      </c>
      <c r="D1249" s="3" t="n">
        <v>46033</v>
      </c>
      <c r="E1249" s="4" t="n">
        <v>3722.69</v>
      </c>
      <c r="F1249">
        <f>Summary!$B$3-D1249</f>
        <v/>
      </c>
      <c r="G1249">
        <f>IF(D1249&gt;Summary!$B$3,"Current",IF(F1249&lt;=30,"0-30",IF(F1249&lt;=60,"31-60",IF(F1249&lt;=90,"61-90","90+"))))</f>
        <v/>
      </c>
    </row>
    <row r="1250">
      <c r="A1250" t="inlineStr">
        <is>
          <t>0009028419</t>
        </is>
      </c>
      <c r="B1250" t="inlineStr">
        <is>
          <t>0000100051</t>
        </is>
      </c>
      <c r="C1250" s="3" t="n">
        <v>45985</v>
      </c>
      <c r="D1250" s="3" t="n">
        <v>46045</v>
      </c>
      <c r="E1250" s="4" t="n">
        <v>705.38</v>
      </c>
      <c r="F1250">
        <f>Summary!$B$3-D1250</f>
        <v/>
      </c>
      <c r="G1250">
        <f>IF(D1250&gt;Summary!$B$3,"Current",IF(F1250&lt;=30,"0-30",IF(F1250&lt;=60,"31-60",IF(F1250&lt;=90,"61-90","90+"))))</f>
        <v/>
      </c>
    </row>
    <row r="1251">
      <c r="A1251" t="inlineStr">
        <is>
          <t>0009028420</t>
        </is>
      </c>
      <c r="B1251" t="inlineStr">
        <is>
          <t>0000100450</t>
        </is>
      </c>
      <c r="C1251" s="3" t="n">
        <v>45984</v>
      </c>
      <c r="D1251" s="3" t="n">
        <v>46029</v>
      </c>
      <c r="E1251" s="4" t="n">
        <v>125.08</v>
      </c>
      <c r="F1251">
        <f>Summary!$B$3-D1251</f>
        <v/>
      </c>
      <c r="G1251">
        <f>IF(D1251&gt;Summary!$B$3,"Current",IF(F1251&lt;=30,"0-30",IF(F1251&lt;=60,"31-60",IF(F1251&lt;=90,"61-90","90+"))))</f>
        <v/>
      </c>
    </row>
    <row r="1252">
      <c r="A1252" t="inlineStr">
        <is>
          <t>0009028421</t>
        </is>
      </c>
      <c r="B1252" t="inlineStr">
        <is>
          <t>0000100046</t>
        </is>
      </c>
      <c r="C1252" s="3" t="n">
        <v>45989</v>
      </c>
      <c r="D1252" s="3" t="n">
        <v>46019</v>
      </c>
      <c r="E1252" s="4" t="n">
        <v>1071.18</v>
      </c>
      <c r="F1252">
        <f>Summary!$B$3-D1252</f>
        <v/>
      </c>
      <c r="G1252">
        <f>IF(D1252&gt;Summary!$B$3,"Current",IF(F1252&lt;=30,"0-30",IF(F1252&lt;=60,"31-60",IF(F1252&lt;=90,"61-90","90+"))))</f>
        <v/>
      </c>
    </row>
    <row r="1253">
      <c r="A1253" t="inlineStr">
        <is>
          <t>0009028425</t>
        </is>
      </c>
      <c r="B1253" t="inlineStr">
        <is>
          <t>0000100586</t>
        </is>
      </c>
      <c r="C1253" s="3" t="n">
        <v>45987</v>
      </c>
      <c r="D1253" s="3" t="n">
        <v>46017</v>
      </c>
      <c r="E1253" s="4" t="n">
        <v>192.16</v>
      </c>
      <c r="F1253">
        <f>Summary!$B$3-D1253</f>
        <v/>
      </c>
      <c r="G1253">
        <f>IF(D1253&gt;Summary!$B$3,"Current",IF(F1253&lt;=30,"0-30",IF(F1253&lt;=60,"31-60",IF(F1253&lt;=90,"61-90","90+"))))</f>
        <v/>
      </c>
    </row>
    <row r="1254">
      <c r="A1254" t="inlineStr">
        <is>
          <t>0009028426</t>
        </is>
      </c>
      <c r="B1254" t="inlineStr">
        <is>
          <t>0000100326</t>
        </is>
      </c>
      <c r="C1254" s="3" t="n">
        <v>45984</v>
      </c>
      <c r="D1254" s="3" t="n">
        <v>46014</v>
      </c>
      <c r="E1254" s="4" t="n">
        <v>265.39</v>
      </c>
      <c r="F1254">
        <f>Summary!$B$3-D1254</f>
        <v/>
      </c>
      <c r="G1254">
        <f>IF(D1254&gt;Summary!$B$3,"Current",IF(F1254&lt;=30,"0-30",IF(F1254&lt;=60,"31-60",IF(F1254&lt;=90,"61-90","90+"))))</f>
        <v/>
      </c>
    </row>
    <row r="1255">
      <c r="A1255" t="inlineStr">
        <is>
          <t>0009028427</t>
        </is>
      </c>
      <c r="B1255" t="inlineStr">
        <is>
          <t>0000100219</t>
        </is>
      </c>
      <c r="C1255" s="3" t="n">
        <v>45981</v>
      </c>
      <c r="D1255" s="3" t="n">
        <v>46011</v>
      </c>
      <c r="E1255" s="4" t="n">
        <v>134.72</v>
      </c>
      <c r="F1255">
        <f>Summary!$B$3-D1255</f>
        <v/>
      </c>
      <c r="G1255">
        <f>IF(D1255&gt;Summary!$B$3,"Current",IF(F1255&lt;=30,"0-30",IF(F1255&lt;=60,"31-60",IF(F1255&lt;=90,"61-90","90+"))))</f>
        <v/>
      </c>
    </row>
    <row r="1256">
      <c r="A1256" t="inlineStr">
        <is>
          <t>0009028431</t>
        </is>
      </c>
      <c r="B1256" t="inlineStr">
        <is>
          <t>0000100116</t>
        </is>
      </c>
      <c r="C1256" s="3" t="n">
        <v>45984</v>
      </c>
      <c r="D1256" s="3" t="n">
        <v>46029</v>
      </c>
      <c r="E1256" s="4" t="n">
        <v>2130.38</v>
      </c>
      <c r="F1256">
        <f>Summary!$B$3-D1256</f>
        <v/>
      </c>
      <c r="G1256">
        <f>IF(D1256&gt;Summary!$B$3,"Current",IF(F1256&lt;=30,"0-30",IF(F1256&lt;=60,"31-60",IF(F1256&lt;=90,"61-90","90+"))))</f>
        <v/>
      </c>
    </row>
    <row r="1257">
      <c r="A1257" t="inlineStr">
        <is>
          <t>0009028432</t>
        </is>
      </c>
      <c r="B1257" t="inlineStr">
        <is>
          <t>0000100216</t>
        </is>
      </c>
      <c r="C1257" s="3" t="n">
        <v>45987</v>
      </c>
      <c r="D1257" s="3" t="n">
        <v>46047</v>
      </c>
      <c r="E1257" s="4" t="n">
        <v>364.92</v>
      </c>
      <c r="F1257">
        <f>Summary!$B$3-D1257</f>
        <v/>
      </c>
      <c r="G1257">
        <f>IF(D1257&gt;Summary!$B$3,"Current",IF(F1257&lt;=30,"0-30",IF(F1257&lt;=60,"31-60",IF(F1257&lt;=90,"61-90","90+"))))</f>
        <v/>
      </c>
    </row>
    <row r="1258">
      <c r="A1258" t="inlineStr">
        <is>
          <t>0009028433</t>
        </is>
      </c>
      <c r="B1258" t="inlineStr">
        <is>
          <t>0000100447</t>
        </is>
      </c>
      <c r="C1258" s="3" t="n">
        <v>45983</v>
      </c>
      <c r="D1258" s="3" t="n">
        <v>46028</v>
      </c>
      <c r="E1258" s="4" t="n">
        <v>1526.2</v>
      </c>
      <c r="F1258">
        <f>Summary!$B$3-D1258</f>
        <v/>
      </c>
      <c r="G1258">
        <f>IF(D1258&gt;Summary!$B$3,"Current",IF(F1258&lt;=30,"0-30",IF(F1258&lt;=60,"31-60",IF(F1258&lt;=90,"61-90","90+"))))</f>
        <v/>
      </c>
    </row>
    <row r="1259">
      <c r="A1259" t="inlineStr">
        <is>
          <t>0009028435</t>
        </is>
      </c>
      <c r="B1259" t="inlineStr">
        <is>
          <t>0000100192</t>
        </is>
      </c>
      <c r="C1259" s="3" t="n">
        <v>45986</v>
      </c>
      <c r="D1259" s="3" t="n">
        <v>46016</v>
      </c>
      <c r="E1259" s="4" t="n">
        <v>3176.26</v>
      </c>
      <c r="F1259">
        <f>Summary!$B$3-D1259</f>
        <v/>
      </c>
      <c r="G1259">
        <f>IF(D1259&gt;Summary!$B$3,"Current",IF(F1259&lt;=30,"0-30",IF(F1259&lt;=60,"31-60",IF(F1259&lt;=90,"61-90","90+"))))</f>
        <v/>
      </c>
    </row>
    <row r="1260">
      <c r="A1260" t="inlineStr">
        <is>
          <t>0009028436</t>
        </is>
      </c>
      <c r="B1260" t="inlineStr">
        <is>
          <t>0000100423</t>
        </is>
      </c>
      <c r="C1260" s="3" t="n">
        <v>45988</v>
      </c>
      <c r="D1260" s="3" t="n">
        <v>46033</v>
      </c>
      <c r="E1260" s="4" t="n">
        <v>230.44</v>
      </c>
      <c r="F1260">
        <f>Summary!$B$3-D1260</f>
        <v/>
      </c>
      <c r="G1260">
        <f>IF(D1260&gt;Summary!$B$3,"Current",IF(F1260&lt;=30,"0-30",IF(F1260&lt;=60,"31-60",IF(F1260&lt;=90,"61-90","90+"))))</f>
        <v/>
      </c>
    </row>
    <row r="1261">
      <c r="A1261" t="inlineStr">
        <is>
          <t>0009028437</t>
        </is>
      </c>
      <c r="B1261" t="inlineStr">
        <is>
          <t>0000100456</t>
        </is>
      </c>
      <c r="C1261" s="3" t="n">
        <v>45984</v>
      </c>
      <c r="D1261" s="3" t="n">
        <v>46044</v>
      </c>
      <c r="E1261" s="4" t="n">
        <v>608.59</v>
      </c>
      <c r="F1261">
        <f>Summary!$B$3-D1261</f>
        <v/>
      </c>
      <c r="G1261">
        <f>IF(D1261&gt;Summary!$B$3,"Current",IF(F1261&lt;=30,"0-30",IF(F1261&lt;=60,"31-60",IF(F1261&lt;=90,"61-90","90+"))))</f>
        <v/>
      </c>
    </row>
    <row r="1262">
      <c r="A1262" t="inlineStr">
        <is>
          <t>0009028439</t>
        </is>
      </c>
      <c r="B1262" t="inlineStr">
        <is>
          <t>0000100539</t>
        </is>
      </c>
      <c r="C1262" s="3" t="n">
        <v>45987</v>
      </c>
      <c r="D1262" s="3" t="n">
        <v>46032</v>
      </c>
      <c r="E1262" s="4" t="n">
        <v>2975.04</v>
      </c>
      <c r="F1262">
        <f>Summary!$B$3-D1262</f>
        <v/>
      </c>
      <c r="G1262">
        <f>IF(D1262&gt;Summary!$B$3,"Current",IF(F1262&lt;=30,"0-30",IF(F1262&lt;=60,"31-60",IF(F1262&lt;=90,"61-90","90+"))))</f>
        <v/>
      </c>
    </row>
    <row r="1263">
      <c r="A1263" t="inlineStr">
        <is>
          <t>0009028440</t>
        </is>
      </c>
      <c r="B1263" t="inlineStr">
        <is>
          <t>0000100521</t>
        </is>
      </c>
      <c r="C1263" s="3" t="n">
        <v>45985</v>
      </c>
      <c r="D1263" s="3" t="n">
        <v>46015</v>
      </c>
      <c r="E1263" s="4" t="n">
        <v>4043.59</v>
      </c>
      <c r="F1263">
        <f>Summary!$B$3-D1263</f>
        <v/>
      </c>
      <c r="G1263">
        <f>IF(D1263&gt;Summary!$B$3,"Current",IF(F1263&lt;=30,"0-30",IF(F1263&lt;=60,"31-60",IF(F1263&lt;=90,"61-90","90+"))))</f>
        <v/>
      </c>
    </row>
    <row r="1264">
      <c r="A1264" t="inlineStr">
        <is>
          <t>0009028441</t>
        </is>
      </c>
      <c r="B1264" t="inlineStr">
        <is>
          <t>0000100063</t>
        </is>
      </c>
      <c r="C1264" s="3" t="n">
        <v>45987</v>
      </c>
      <c r="D1264" s="3" t="n">
        <v>46017</v>
      </c>
      <c r="E1264" s="4" t="n">
        <v>441.43</v>
      </c>
      <c r="F1264">
        <f>Summary!$B$3-D1264</f>
        <v/>
      </c>
      <c r="G1264">
        <f>IF(D1264&gt;Summary!$B$3,"Current",IF(F1264&lt;=30,"0-30",IF(F1264&lt;=60,"31-60",IF(F1264&lt;=90,"61-90","90+"))))</f>
        <v/>
      </c>
    </row>
    <row r="1265">
      <c r="A1265" t="inlineStr">
        <is>
          <t>0009028443</t>
        </is>
      </c>
      <c r="B1265" t="inlineStr">
        <is>
          <t>0000100324</t>
        </is>
      </c>
      <c r="C1265" s="3" t="n">
        <v>45985</v>
      </c>
      <c r="D1265" s="3" t="n">
        <v>46015</v>
      </c>
      <c r="E1265" s="4" t="n">
        <v>175.74</v>
      </c>
      <c r="F1265">
        <f>Summary!$B$3-D1265</f>
        <v/>
      </c>
      <c r="G1265">
        <f>IF(D1265&gt;Summary!$B$3,"Current",IF(F1265&lt;=30,"0-30",IF(F1265&lt;=60,"31-60",IF(F1265&lt;=90,"61-90","90+"))))</f>
        <v/>
      </c>
    </row>
    <row r="1266">
      <c r="A1266" t="inlineStr">
        <is>
          <t>0009028444</t>
        </is>
      </c>
      <c r="B1266" t="inlineStr">
        <is>
          <t>0000100017</t>
        </is>
      </c>
      <c r="C1266" s="3" t="n">
        <v>45990</v>
      </c>
      <c r="D1266" s="3" t="n">
        <v>46020</v>
      </c>
      <c r="E1266" s="4" t="n">
        <v>715.4400000000001</v>
      </c>
      <c r="F1266">
        <f>Summary!$B$3-D1266</f>
        <v/>
      </c>
      <c r="G1266">
        <f>IF(D1266&gt;Summary!$B$3,"Current",IF(F1266&lt;=30,"0-30",IF(F1266&lt;=60,"31-60",IF(F1266&lt;=90,"61-90","90+"))))</f>
        <v/>
      </c>
    </row>
    <row r="1267">
      <c r="A1267" t="inlineStr">
        <is>
          <t>0009028445</t>
        </is>
      </c>
      <c r="B1267" t="inlineStr">
        <is>
          <t>0000100279</t>
        </is>
      </c>
      <c r="C1267" s="3" t="n">
        <v>45983</v>
      </c>
      <c r="D1267" s="3" t="n">
        <v>46028</v>
      </c>
      <c r="E1267" s="4" t="n">
        <v>683.61</v>
      </c>
      <c r="F1267">
        <f>Summary!$B$3-D1267</f>
        <v/>
      </c>
      <c r="G1267">
        <f>IF(D1267&gt;Summary!$B$3,"Current",IF(F1267&lt;=30,"0-30",IF(F1267&lt;=60,"31-60",IF(F1267&lt;=90,"61-90","90+"))))</f>
        <v/>
      </c>
    </row>
    <row r="1268">
      <c r="A1268" t="inlineStr">
        <is>
          <t>0009028446</t>
        </is>
      </c>
      <c r="B1268" t="inlineStr">
        <is>
          <t>0000100456</t>
        </is>
      </c>
      <c r="C1268" s="3" t="n">
        <v>45981</v>
      </c>
      <c r="D1268" s="3" t="n">
        <v>46041</v>
      </c>
      <c r="E1268" s="4" t="n">
        <v>191.69</v>
      </c>
      <c r="F1268">
        <f>Summary!$B$3-D1268</f>
        <v/>
      </c>
      <c r="G1268">
        <f>IF(D1268&gt;Summary!$B$3,"Current",IF(F1268&lt;=30,"0-30",IF(F1268&lt;=60,"31-60",IF(F1268&lt;=90,"61-90","90+"))))</f>
        <v/>
      </c>
    </row>
    <row r="1269">
      <c r="A1269" t="inlineStr">
        <is>
          <t>0009028447</t>
        </is>
      </c>
      <c r="B1269" t="inlineStr">
        <is>
          <t>0000100229</t>
        </is>
      </c>
      <c r="C1269" s="3" t="n">
        <v>45989</v>
      </c>
      <c r="D1269" s="3" t="n">
        <v>46019</v>
      </c>
      <c r="E1269" s="4" t="n">
        <v>906.26</v>
      </c>
      <c r="F1269">
        <f>Summary!$B$3-D1269</f>
        <v/>
      </c>
      <c r="G1269">
        <f>IF(D1269&gt;Summary!$B$3,"Current",IF(F1269&lt;=30,"0-30",IF(F1269&lt;=60,"31-60",IF(F1269&lt;=90,"61-90","90+"))))</f>
        <v/>
      </c>
    </row>
    <row r="1270">
      <c r="A1270" t="inlineStr">
        <is>
          <t>0009028448</t>
        </is>
      </c>
      <c r="B1270" t="inlineStr">
        <is>
          <t>0000100312</t>
        </is>
      </c>
      <c r="C1270" s="3" t="n">
        <v>45986</v>
      </c>
      <c r="D1270" s="3" t="n">
        <v>46046</v>
      </c>
      <c r="E1270" s="4" t="n">
        <v>5718.93</v>
      </c>
      <c r="F1270">
        <f>Summary!$B$3-D1270</f>
        <v/>
      </c>
      <c r="G1270">
        <f>IF(D1270&gt;Summary!$B$3,"Current",IF(F1270&lt;=30,"0-30",IF(F1270&lt;=60,"31-60",IF(F1270&lt;=90,"61-90","90+"))))</f>
        <v/>
      </c>
    </row>
    <row r="1271">
      <c r="A1271" t="inlineStr">
        <is>
          <t>0009028449</t>
        </is>
      </c>
      <c r="B1271" t="inlineStr">
        <is>
          <t>0000100344</t>
        </is>
      </c>
      <c r="C1271" s="3" t="n">
        <v>45991</v>
      </c>
      <c r="D1271" s="3" t="n">
        <v>46021</v>
      </c>
      <c r="E1271" s="4" t="n">
        <v>3952.19</v>
      </c>
      <c r="F1271">
        <f>Summary!$B$3-D1271</f>
        <v/>
      </c>
      <c r="G1271">
        <f>IF(D1271&gt;Summary!$B$3,"Current",IF(F1271&lt;=30,"0-30",IF(F1271&lt;=60,"31-60",IF(F1271&lt;=90,"61-90","90+"))))</f>
        <v/>
      </c>
    </row>
    <row r="1272">
      <c r="A1272" t="inlineStr">
        <is>
          <t>0009028450</t>
        </is>
      </c>
      <c r="B1272" t="inlineStr">
        <is>
          <t>0000100065</t>
        </is>
      </c>
      <c r="C1272" s="3" t="n">
        <v>45996</v>
      </c>
      <c r="D1272" s="3" t="n">
        <v>46041</v>
      </c>
      <c r="E1272" s="4" t="n">
        <v>976.1900000000001</v>
      </c>
      <c r="F1272">
        <f>Summary!$B$3-D1272</f>
        <v/>
      </c>
      <c r="G1272">
        <f>IF(D1272&gt;Summary!$B$3,"Current",IF(F1272&lt;=30,"0-30",IF(F1272&lt;=60,"31-60",IF(F1272&lt;=90,"61-90","90+"))))</f>
        <v/>
      </c>
    </row>
    <row r="1273">
      <c r="A1273" t="inlineStr">
        <is>
          <t>0009028452</t>
        </is>
      </c>
      <c r="B1273" t="inlineStr">
        <is>
          <t>0000100017</t>
        </is>
      </c>
      <c r="C1273" s="3" t="n">
        <v>45985</v>
      </c>
      <c r="D1273" s="3" t="n">
        <v>46015</v>
      </c>
      <c r="E1273" s="4" t="n">
        <v>2567.34</v>
      </c>
      <c r="F1273">
        <f>Summary!$B$3-D1273</f>
        <v/>
      </c>
      <c r="G1273">
        <f>IF(D1273&gt;Summary!$B$3,"Current",IF(F1273&lt;=30,"0-30",IF(F1273&lt;=60,"31-60",IF(F1273&lt;=90,"61-90","90+"))))</f>
        <v/>
      </c>
    </row>
    <row r="1274">
      <c r="A1274" t="inlineStr">
        <is>
          <t>0009028453</t>
        </is>
      </c>
      <c r="B1274" t="inlineStr">
        <is>
          <t>0000100266</t>
        </is>
      </c>
      <c r="C1274" s="3" t="n">
        <v>45988</v>
      </c>
      <c r="D1274" s="3" t="n">
        <v>46048</v>
      </c>
      <c r="E1274" s="4" t="n">
        <v>179.02</v>
      </c>
      <c r="F1274">
        <f>Summary!$B$3-D1274</f>
        <v/>
      </c>
      <c r="G1274">
        <f>IF(D1274&gt;Summary!$B$3,"Current",IF(F1274&lt;=30,"0-30",IF(F1274&lt;=60,"31-60",IF(F1274&lt;=90,"61-90","90+"))))</f>
        <v/>
      </c>
    </row>
    <row r="1275">
      <c r="A1275" t="inlineStr">
        <is>
          <t>0009028454</t>
        </is>
      </c>
      <c r="B1275" t="inlineStr">
        <is>
          <t>0000100222</t>
        </is>
      </c>
      <c r="C1275" s="3" t="n">
        <v>45989</v>
      </c>
      <c r="D1275" s="3" t="n">
        <v>46019</v>
      </c>
      <c r="E1275" s="4" t="n">
        <v>930.86</v>
      </c>
      <c r="F1275">
        <f>Summary!$B$3-D1275</f>
        <v/>
      </c>
      <c r="G1275">
        <f>IF(D1275&gt;Summary!$B$3,"Current",IF(F1275&lt;=30,"0-30",IF(F1275&lt;=60,"31-60",IF(F1275&lt;=90,"61-90","90+"))))</f>
        <v/>
      </c>
    </row>
    <row r="1276">
      <c r="A1276" t="inlineStr">
        <is>
          <t>0009028455</t>
        </is>
      </c>
      <c r="B1276" t="inlineStr">
        <is>
          <t>0000100192</t>
        </is>
      </c>
      <c r="C1276" s="3" t="n">
        <v>45989</v>
      </c>
      <c r="D1276" s="3" t="n">
        <v>46019</v>
      </c>
      <c r="E1276" s="4" t="n">
        <v>222.81</v>
      </c>
      <c r="F1276">
        <f>Summary!$B$3-D1276</f>
        <v/>
      </c>
      <c r="G1276">
        <f>IF(D1276&gt;Summary!$B$3,"Current",IF(F1276&lt;=30,"0-30",IF(F1276&lt;=60,"31-60",IF(F1276&lt;=90,"61-90","90+"))))</f>
        <v/>
      </c>
    </row>
    <row r="1277">
      <c r="A1277" t="inlineStr">
        <is>
          <t>0009028458</t>
        </is>
      </c>
      <c r="B1277" t="inlineStr">
        <is>
          <t>0000100338</t>
        </is>
      </c>
      <c r="C1277" s="3" t="n">
        <v>45986</v>
      </c>
      <c r="D1277" s="3" t="n">
        <v>46046</v>
      </c>
      <c r="E1277" s="4" t="n">
        <v>1686.38</v>
      </c>
      <c r="F1277">
        <f>Summary!$B$3-D1277</f>
        <v/>
      </c>
      <c r="G1277">
        <f>IF(D1277&gt;Summary!$B$3,"Current",IF(F1277&lt;=30,"0-30",IF(F1277&lt;=60,"31-60",IF(F1277&lt;=90,"61-90","90+"))))</f>
        <v/>
      </c>
    </row>
    <row r="1278">
      <c r="A1278" t="inlineStr">
        <is>
          <t>0009028462</t>
        </is>
      </c>
      <c r="B1278" t="inlineStr">
        <is>
          <t>0000100185</t>
        </is>
      </c>
      <c r="C1278" s="3" t="n">
        <v>45992</v>
      </c>
      <c r="D1278" s="3" t="n">
        <v>46022</v>
      </c>
      <c r="E1278" s="4" t="n">
        <v>423.37</v>
      </c>
      <c r="F1278">
        <f>Summary!$B$3-D1278</f>
        <v/>
      </c>
      <c r="G1278">
        <f>IF(D1278&gt;Summary!$B$3,"Current",IF(F1278&lt;=30,"0-30",IF(F1278&lt;=60,"31-60",IF(F1278&lt;=90,"61-90","90+"))))</f>
        <v/>
      </c>
    </row>
    <row r="1279">
      <c r="A1279" t="inlineStr">
        <is>
          <t>0009028463</t>
        </is>
      </c>
      <c r="B1279" t="inlineStr">
        <is>
          <t>0000100313</t>
        </is>
      </c>
      <c r="C1279" s="3" t="n">
        <v>45987</v>
      </c>
      <c r="D1279" s="3" t="n">
        <v>46047</v>
      </c>
      <c r="E1279" s="4" t="n">
        <v>722.64</v>
      </c>
      <c r="F1279">
        <f>Summary!$B$3-D1279</f>
        <v/>
      </c>
      <c r="G1279">
        <f>IF(D1279&gt;Summary!$B$3,"Current",IF(F1279&lt;=30,"0-30",IF(F1279&lt;=60,"31-60",IF(F1279&lt;=90,"61-90","90+"))))</f>
        <v/>
      </c>
    </row>
    <row r="1280">
      <c r="A1280" t="inlineStr">
        <is>
          <t>0009028464</t>
        </is>
      </c>
      <c r="B1280" t="inlineStr">
        <is>
          <t>0000100543</t>
        </is>
      </c>
      <c r="C1280" s="3" t="n">
        <v>45989</v>
      </c>
      <c r="D1280" s="3" t="n">
        <v>46049</v>
      </c>
      <c r="E1280" s="4" t="n">
        <v>114.68</v>
      </c>
      <c r="F1280">
        <f>Summary!$B$3-D1280</f>
        <v/>
      </c>
      <c r="G1280">
        <f>IF(D1280&gt;Summary!$B$3,"Current",IF(F1280&lt;=30,"0-30",IF(F1280&lt;=60,"31-60",IF(F1280&lt;=90,"61-90","90+"))))</f>
        <v/>
      </c>
    </row>
    <row r="1281">
      <c r="A1281" t="inlineStr">
        <is>
          <t>0009028466</t>
        </is>
      </c>
      <c r="B1281" t="inlineStr">
        <is>
          <t>0000100324</t>
        </is>
      </c>
      <c r="C1281" s="3" t="n">
        <v>45985</v>
      </c>
      <c r="D1281" s="3" t="n">
        <v>46015</v>
      </c>
      <c r="E1281" s="4" t="n">
        <v>511.15</v>
      </c>
      <c r="F1281">
        <f>Summary!$B$3-D1281</f>
        <v/>
      </c>
      <c r="G1281">
        <f>IF(D1281&gt;Summary!$B$3,"Current",IF(F1281&lt;=30,"0-30",IF(F1281&lt;=60,"31-60",IF(F1281&lt;=90,"61-90","90+"))))</f>
        <v/>
      </c>
    </row>
    <row r="1282">
      <c r="A1282" t="inlineStr">
        <is>
          <t>0009028469</t>
        </is>
      </c>
      <c r="B1282" t="inlineStr">
        <is>
          <t>0000100525</t>
        </is>
      </c>
      <c r="C1282" s="3" t="n">
        <v>45992</v>
      </c>
      <c r="D1282" s="3" t="n">
        <v>46037</v>
      </c>
      <c r="E1282" s="4" t="n">
        <v>224.4</v>
      </c>
      <c r="F1282">
        <f>Summary!$B$3-D1282</f>
        <v/>
      </c>
      <c r="G1282">
        <f>IF(D1282&gt;Summary!$B$3,"Current",IF(F1282&lt;=30,"0-30",IF(F1282&lt;=60,"31-60",IF(F1282&lt;=90,"61-90","90+"))))</f>
        <v/>
      </c>
    </row>
    <row r="1283">
      <c r="A1283" t="inlineStr">
        <is>
          <t>0009028470</t>
        </is>
      </c>
      <c r="B1283" t="inlineStr">
        <is>
          <t>0000100456</t>
        </is>
      </c>
      <c r="C1283" s="3" t="n">
        <v>45987</v>
      </c>
      <c r="D1283" s="3" t="n">
        <v>46047</v>
      </c>
      <c r="E1283" s="4" t="n">
        <v>268.25</v>
      </c>
      <c r="F1283">
        <f>Summary!$B$3-D1283</f>
        <v/>
      </c>
      <c r="G1283">
        <f>IF(D1283&gt;Summary!$B$3,"Current",IF(F1283&lt;=30,"0-30",IF(F1283&lt;=60,"31-60",IF(F1283&lt;=90,"61-90","90+"))))</f>
        <v/>
      </c>
    </row>
    <row r="1284">
      <c r="A1284" t="inlineStr">
        <is>
          <t>0009028471</t>
        </is>
      </c>
      <c r="B1284" t="inlineStr">
        <is>
          <t>0000100304</t>
        </is>
      </c>
      <c r="C1284" s="3" t="n">
        <v>45989</v>
      </c>
      <c r="D1284" s="3" t="n">
        <v>46049</v>
      </c>
      <c r="E1284" s="4" t="n">
        <v>259.29</v>
      </c>
      <c r="F1284">
        <f>Summary!$B$3-D1284</f>
        <v/>
      </c>
      <c r="G1284">
        <f>IF(D1284&gt;Summary!$B$3,"Current",IF(F1284&lt;=30,"0-30",IF(F1284&lt;=60,"31-60",IF(F1284&lt;=90,"61-90","90+"))))</f>
        <v/>
      </c>
    </row>
    <row r="1285">
      <c r="A1285" t="inlineStr">
        <is>
          <t>0009028472</t>
        </is>
      </c>
      <c r="B1285" t="inlineStr">
        <is>
          <t>0000100371</t>
        </is>
      </c>
      <c r="C1285" s="3" t="n">
        <v>45991</v>
      </c>
      <c r="D1285" s="3" t="n">
        <v>46021</v>
      </c>
      <c r="E1285" s="4" t="n">
        <v>2425.36</v>
      </c>
      <c r="F1285">
        <f>Summary!$B$3-D1285</f>
        <v/>
      </c>
      <c r="G1285">
        <f>IF(D1285&gt;Summary!$B$3,"Current",IF(F1285&lt;=30,"0-30",IF(F1285&lt;=60,"31-60",IF(F1285&lt;=90,"61-90","90+"))))</f>
        <v/>
      </c>
    </row>
    <row r="1286">
      <c r="A1286" t="inlineStr">
        <is>
          <t>0009028473</t>
        </is>
      </c>
      <c r="B1286" t="inlineStr">
        <is>
          <t>0000100097</t>
        </is>
      </c>
      <c r="C1286" s="3" t="n">
        <v>45985</v>
      </c>
      <c r="D1286" s="3" t="n">
        <v>46030</v>
      </c>
      <c r="E1286" s="4" t="n">
        <v>88.55</v>
      </c>
      <c r="F1286">
        <f>Summary!$B$3-D1286</f>
        <v/>
      </c>
      <c r="G1286">
        <f>IF(D1286&gt;Summary!$B$3,"Current",IF(F1286&lt;=30,"0-30",IF(F1286&lt;=60,"31-60",IF(F1286&lt;=90,"61-90","90+"))))</f>
        <v/>
      </c>
    </row>
    <row r="1287">
      <c r="A1287" t="inlineStr">
        <is>
          <t>0009028474</t>
        </is>
      </c>
      <c r="B1287" t="inlineStr">
        <is>
          <t>0000100300</t>
        </is>
      </c>
      <c r="C1287" s="3" t="n">
        <v>45983</v>
      </c>
      <c r="D1287" s="3" t="n">
        <v>46013</v>
      </c>
      <c r="E1287" s="4" t="n">
        <v>1038.2</v>
      </c>
      <c r="F1287">
        <f>Summary!$B$3-D1287</f>
        <v/>
      </c>
      <c r="G1287">
        <f>IF(D1287&gt;Summary!$B$3,"Current",IF(F1287&lt;=30,"0-30",IF(F1287&lt;=60,"31-60",IF(F1287&lt;=90,"61-90","90+"))))</f>
        <v/>
      </c>
    </row>
    <row r="1288">
      <c r="A1288" t="inlineStr">
        <is>
          <t>0009028475</t>
        </is>
      </c>
      <c r="B1288" t="inlineStr">
        <is>
          <t>0000100116</t>
        </is>
      </c>
      <c r="C1288" s="3" t="n">
        <v>45985</v>
      </c>
      <c r="D1288" s="3" t="n">
        <v>46030</v>
      </c>
      <c r="E1288" s="4" t="n">
        <v>321.8</v>
      </c>
      <c r="F1288">
        <f>Summary!$B$3-D1288</f>
        <v/>
      </c>
      <c r="G1288">
        <f>IF(D1288&gt;Summary!$B$3,"Current",IF(F1288&lt;=30,"0-30",IF(F1288&lt;=60,"31-60",IF(F1288&lt;=90,"61-90","90+"))))</f>
        <v/>
      </c>
    </row>
    <row r="1289">
      <c r="A1289" t="inlineStr">
        <is>
          <t>0009028476</t>
        </is>
      </c>
      <c r="B1289" t="inlineStr">
        <is>
          <t>0000100297</t>
        </is>
      </c>
      <c r="C1289" s="3" t="n">
        <v>45988</v>
      </c>
      <c r="D1289" s="3" t="n">
        <v>46018</v>
      </c>
      <c r="E1289" s="4" t="n">
        <v>99.28</v>
      </c>
      <c r="F1289">
        <f>Summary!$B$3-D1289</f>
        <v/>
      </c>
      <c r="G1289">
        <f>IF(D1289&gt;Summary!$B$3,"Current",IF(F1289&lt;=30,"0-30",IF(F1289&lt;=60,"31-60",IF(F1289&lt;=90,"61-90","90+"))))</f>
        <v/>
      </c>
    </row>
    <row r="1290">
      <c r="A1290" t="inlineStr">
        <is>
          <t>0009028477</t>
        </is>
      </c>
      <c r="B1290" t="inlineStr">
        <is>
          <t>0000100203</t>
        </is>
      </c>
      <c r="C1290" s="3" t="n">
        <v>45981</v>
      </c>
      <c r="D1290" s="3" t="n">
        <v>46026</v>
      </c>
      <c r="E1290" s="4" t="n">
        <v>598.03</v>
      </c>
      <c r="F1290">
        <f>Summary!$B$3-D1290</f>
        <v/>
      </c>
      <c r="G1290">
        <f>IF(D1290&gt;Summary!$B$3,"Current",IF(F1290&lt;=30,"0-30",IF(F1290&lt;=60,"31-60",IF(F1290&lt;=90,"61-90","90+"))))</f>
        <v/>
      </c>
    </row>
    <row r="1291">
      <c r="A1291" t="inlineStr">
        <is>
          <t>0009028478</t>
        </is>
      </c>
      <c r="B1291" t="inlineStr">
        <is>
          <t>0000100357</t>
        </is>
      </c>
      <c r="C1291" s="3" t="n">
        <v>45988</v>
      </c>
      <c r="D1291" s="3" t="n">
        <v>46033</v>
      </c>
      <c r="E1291" s="4" t="n">
        <v>364.02</v>
      </c>
      <c r="F1291">
        <f>Summary!$B$3-D1291</f>
        <v/>
      </c>
      <c r="G1291">
        <f>IF(D1291&gt;Summary!$B$3,"Current",IF(F1291&lt;=30,"0-30",IF(F1291&lt;=60,"31-60",IF(F1291&lt;=90,"61-90","90+"))))</f>
        <v/>
      </c>
    </row>
    <row r="1292">
      <c r="A1292" t="inlineStr">
        <is>
          <t>0009028479</t>
        </is>
      </c>
      <c r="B1292" t="inlineStr">
        <is>
          <t>0000100390</t>
        </is>
      </c>
      <c r="C1292" s="3" t="n">
        <v>45984</v>
      </c>
      <c r="D1292" s="3" t="n">
        <v>46029</v>
      </c>
      <c r="E1292" s="4" t="n">
        <v>370.01</v>
      </c>
      <c r="F1292">
        <f>Summary!$B$3-D1292</f>
        <v/>
      </c>
      <c r="G1292">
        <f>IF(D1292&gt;Summary!$B$3,"Current",IF(F1292&lt;=30,"0-30",IF(F1292&lt;=60,"31-60",IF(F1292&lt;=90,"61-90","90+"))))</f>
        <v/>
      </c>
    </row>
    <row r="1293">
      <c r="A1293" t="inlineStr">
        <is>
          <t>0009028480</t>
        </is>
      </c>
      <c r="B1293" t="inlineStr">
        <is>
          <t>0000100002</t>
        </is>
      </c>
      <c r="C1293" s="3" t="n">
        <v>45990</v>
      </c>
      <c r="D1293" s="3" t="n">
        <v>46050</v>
      </c>
      <c r="E1293" s="4" t="n">
        <v>5433.83</v>
      </c>
      <c r="F1293">
        <f>Summary!$B$3-D1293</f>
        <v/>
      </c>
      <c r="G1293">
        <f>IF(D1293&gt;Summary!$B$3,"Current",IF(F1293&lt;=30,"0-30",IF(F1293&lt;=60,"31-60",IF(F1293&lt;=90,"61-90","90+"))))</f>
        <v/>
      </c>
    </row>
    <row r="1294">
      <c r="A1294" t="inlineStr">
        <is>
          <t>0009028481</t>
        </is>
      </c>
      <c r="B1294" t="inlineStr">
        <is>
          <t>0000100196</t>
        </is>
      </c>
      <c r="C1294" s="3" t="n">
        <v>45988</v>
      </c>
      <c r="D1294" s="3" t="n">
        <v>46018</v>
      </c>
      <c r="E1294" s="4" t="n">
        <v>84.83</v>
      </c>
      <c r="F1294">
        <f>Summary!$B$3-D1294</f>
        <v/>
      </c>
      <c r="G1294">
        <f>IF(D1294&gt;Summary!$B$3,"Current",IF(F1294&lt;=30,"0-30",IF(F1294&lt;=60,"31-60",IF(F1294&lt;=90,"61-90","90+"))))</f>
        <v/>
      </c>
    </row>
    <row r="1295">
      <c r="A1295" t="inlineStr">
        <is>
          <t>0009028482</t>
        </is>
      </c>
      <c r="B1295" t="inlineStr">
        <is>
          <t>0000100084</t>
        </is>
      </c>
      <c r="C1295" s="3" t="n">
        <v>45984</v>
      </c>
      <c r="D1295" s="3" t="n">
        <v>46029</v>
      </c>
      <c r="E1295" s="4" t="n">
        <v>242.24</v>
      </c>
      <c r="F1295">
        <f>Summary!$B$3-D1295</f>
        <v/>
      </c>
      <c r="G1295">
        <f>IF(D1295&gt;Summary!$B$3,"Current",IF(F1295&lt;=30,"0-30",IF(F1295&lt;=60,"31-60",IF(F1295&lt;=90,"61-90","90+"))))</f>
        <v/>
      </c>
    </row>
    <row r="1296">
      <c r="A1296" t="inlineStr">
        <is>
          <t>0009028483</t>
        </is>
      </c>
      <c r="B1296" t="inlineStr">
        <is>
          <t>0000100123</t>
        </is>
      </c>
      <c r="C1296" s="3" t="n">
        <v>45984</v>
      </c>
      <c r="D1296" s="3" t="n">
        <v>46044</v>
      </c>
      <c r="E1296" s="4" t="n">
        <v>1459</v>
      </c>
      <c r="F1296">
        <f>Summary!$B$3-D1296</f>
        <v/>
      </c>
      <c r="G1296">
        <f>IF(D1296&gt;Summary!$B$3,"Current",IF(F1296&lt;=30,"0-30",IF(F1296&lt;=60,"31-60",IF(F1296&lt;=90,"61-90","90+"))))</f>
        <v/>
      </c>
    </row>
    <row r="1297">
      <c r="A1297" t="inlineStr">
        <is>
          <t>0009028484</t>
        </is>
      </c>
      <c r="B1297" t="inlineStr">
        <is>
          <t>0000100465</t>
        </is>
      </c>
      <c r="C1297" s="3" t="n">
        <v>45985</v>
      </c>
      <c r="D1297" s="3" t="n">
        <v>46045</v>
      </c>
      <c r="E1297" s="4" t="n">
        <v>1059.29</v>
      </c>
      <c r="F1297">
        <f>Summary!$B$3-D1297</f>
        <v/>
      </c>
      <c r="G1297">
        <f>IF(D1297&gt;Summary!$B$3,"Current",IF(F1297&lt;=30,"0-30",IF(F1297&lt;=60,"31-60",IF(F1297&lt;=90,"61-90","90+"))))</f>
        <v/>
      </c>
    </row>
    <row r="1298">
      <c r="A1298" t="inlineStr">
        <is>
          <t>0009028485</t>
        </is>
      </c>
      <c r="B1298" t="inlineStr">
        <is>
          <t>0000100369</t>
        </is>
      </c>
      <c r="C1298" s="3" t="n">
        <v>45987</v>
      </c>
      <c r="D1298" s="3" t="n">
        <v>46017</v>
      </c>
      <c r="E1298" s="4" t="n">
        <v>2304.03</v>
      </c>
      <c r="F1298">
        <f>Summary!$B$3-D1298</f>
        <v/>
      </c>
      <c r="G1298">
        <f>IF(D1298&gt;Summary!$B$3,"Current",IF(F1298&lt;=30,"0-30",IF(F1298&lt;=60,"31-60",IF(F1298&lt;=90,"61-90","90+"))))</f>
        <v/>
      </c>
    </row>
    <row r="1299">
      <c r="A1299" t="inlineStr">
        <is>
          <t>0009028487</t>
        </is>
      </c>
      <c r="B1299" t="inlineStr">
        <is>
          <t>0000100267</t>
        </is>
      </c>
      <c r="C1299" s="3" t="n">
        <v>45988</v>
      </c>
      <c r="D1299" s="3" t="n">
        <v>46033</v>
      </c>
      <c r="E1299" s="4" t="n">
        <v>374.77</v>
      </c>
      <c r="F1299">
        <f>Summary!$B$3-D1299</f>
        <v/>
      </c>
      <c r="G1299">
        <f>IF(D1299&gt;Summary!$B$3,"Current",IF(F1299&lt;=30,"0-30",IF(F1299&lt;=60,"31-60",IF(F1299&lt;=90,"61-90","90+"))))</f>
        <v/>
      </c>
    </row>
    <row r="1300">
      <c r="A1300" t="inlineStr">
        <is>
          <t>0009028488</t>
        </is>
      </c>
      <c r="B1300" t="inlineStr">
        <is>
          <t>0000100511</t>
        </is>
      </c>
      <c r="C1300" s="3" t="n">
        <v>45984</v>
      </c>
      <c r="D1300" s="3" t="n">
        <v>46014</v>
      </c>
      <c r="E1300" s="4" t="n">
        <v>689.53</v>
      </c>
      <c r="F1300">
        <f>Summary!$B$3-D1300</f>
        <v/>
      </c>
      <c r="G1300">
        <f>IF(D1300&gt;Summary!$B$3,"Current",IF(F1300&lt;=30,"0-30",IF(F1300&lt;=60,"31-60",IF(F1300&lt;=90,"61-90","90+"))))</f>
        <v/>
      </c>
    </row>
    <row r="1301">
      <c r="A1301" t="inlineStr">
        <is>
          <t>0009028489</t>
        </is>
      </c>
      <c r="B1301" t="inlineStr">
        <is>
          <t>0000100484</t>
        </is>
      </c>
      <c r="C1301" s="3" t="n">
        <v>45986</v>
      </c>
      <c r="D1301" s="3" t="n">
        <v>46046</v>
      </c>
      <c r="E1301" s="4" t="n">
        <v>508.47</v>
      </c>
      <c r="F1301">
        <f>Summary!$B$3-D1301</f>
        <v/>
      </c>
      <c r="G1301">
        <f>IF(D1301&gt;Summary!$B$3,"Current",IF(F1301&lt;=30,"0-30",IF(F1301&lt;=60,"31-60",IF(F1301&lt;=90,"61-90","90+"))))</f>
        <v/>
      </c>
    </row>
    <row r="1302">
      <c r="A1302" t="inlineStr">
        <is>
          <t>0009028490</t>
        </is>
      </c>
      <c r="B1302" t="inlineStr">
        <is>
          <t>0000100513</t>
        </is>
      </c>
      <c r="C1302" s="3" t="n">
        <v>45987</v>
      </c>
      <c r="D1302" s="3" t="n">
        <v>46047</v>
      </c>
      <c r="E1302" s="4" t="n">
        <v>104.38</v>
      </c>
      <c r="F1302">
        <f>Summary!$B$3-D1302</f>
        <v/>
      </c>
      <c r="G1302">
        <f>IF(D1302&gt;Summary!$B$3,"Current",IF(F1302&lt;=30,"0-30",IF(F1302&lt;=60,"31-60",IF(F1302&lt;=90,"61-90","90+"))))</f>
        <v/>
      </c>
    </row>
    <row r="1303">
      <c r="A1303" t="inlineStr">
        <is>
          <t>0009028491</t>
        </is>
      </c>
      <c r="B1303" t="inlineStr">
        <is>
          <t>0000100291</t>
        </is>
      </c>
      <c r="C1303" s="3" t="n">
        <v>45985</v>
      </c>
      <c r="D1303" s="3" t="n">
        <v>46045</v>
      </c>
      <c r="E1303" s="4" t="n">
        <v>347.44</v>
      </c>
      <c r="F1303">
        <f>Summary!$B$3-D1303</f>
        <v/>
      </c>
      <c r="G1303">
        <f>IF(D1303&gt;Summary!$B$3,"Current",IF(F1303&lt;=30,"0-30",IF(F1303&lt;=60,"31-60",IF(F1303&lt;=90,"61-90","90+"))))</f>
        <v/>
      </c>
    </row>
    <row r="1304">
      <c r="A1304" t="inlineStr">
        <is>
          <t>0009028492</t>
        </is>
      </c>
      <c r="B1304" t="inlineStr">
        <is>
          <t>0000100052</t>
        </is>
      </c>
      <c r="C1304" s="3" t="n">
        <v>45984</v>
      </c>
      <c r="D1304" s="3" t="n">
        <v>46029</v>
      </c>
      <c r="E1304" s="4" t="n">
        <v>269.5</v>
      </c>
      <c r="F1304">
        <f>Summary!$B$3-D1304</f>
        <v/>
      </c>
      <c r="G1304">
        <f>IF(D1304&gt;Summary!$B$3,"Current",IF(F1304&lt;=30,"0-30",IF(F1304&lt;=60,"31-60",IF(F1304&lt;=90,"61-90","90+"))))</f>
        <v/>
      </c>
    </row>
    <row r="1305">
      <c r="A1305" t="inlineStr">
        <is>
          <t>0009028493</t>
        </is>
      </c>
      <c r="B1305" t="inlineStr">
        <is>
          <t>0000100383</t>
        </is>
      </c>
      <c r="C1305" s="3" t="n">
        <v>45987</v>
      </c>
      <c r="D1305" s="3" t="n">
        <v>46017</v>
      </c>
      <c r="E1305" s="4" t="n">
        <v>940.63</v>
      </c>
      <c r="F1305">
        <f>Summary!$B$3-D1305</f>
        <v/>
      </c>
      <c r="G1305">
        <f>IF(D1305&gt;Summary!$B$3,"Current",IF(F1305&lt;=30,"0-30",IF(F1305&lt;=60,"31-60",IF(F1305&lt;=90,"61-90","90+"))))</f>
        <v/>
      </c>
    </row>
    <row r="1306">
      <c r="A1306" t="inlineStr">
        <is>
          <t>0009028494</t>
        </is>
      </c>
      <c r="B1306" t="inlineStr">
        <is>
          <t>0000100345</t>
        </is>
      </c>
      <c r="C1306" s="3" t="n">
        <v>45995</v>
      </c>
      <c r="D1306" s="3" t="n">
        <v>46025</v>
      </c>
      <c r="E1306" s="4" t="n">
        <v>125.04</v>
      </c>
      <c r="F1306">
        <f>Summary!$B$3-D1306</f>
        <v/>
      </c>
      <c r="G1306">
        <f>IF(D1306&gt;Summary!$B$3,"Current",IF(F1306&lt;=30,"0-30",IF(F1306&lt;=60,"31-60",IF(F1306&lt;=90,"61-90","90+"))))</f>
        <v/>
      </c>
    </row>
    <row r="1307">
      <c r="A1307" t="inlineStr">
        <is>
          <t>0009028495</t>
        </is>
      </c>
      <c r="B1307" t="inlineStr">
        <is>
          <t>0000100372</t>
        </is>
      </c>
      <c r="C1307" s="3" t="n">
        <v>45986</v>
      </c>
      <c r="D1307" s="3" t="n">
        <v>46016</v>
      </c>
      <c r="E1307" s="4" t="n">
        <v>2807.38</v>
      </c>
      <c r="F1307">
        <f>Summary!$B$3-D1307</f>
        <v/>
      </c>
      <c r="G1307">
        <f>IF(D1307&gt;Summary!$B$3,"Current",IF(F1307&lt;=30,"0-30",IF(F1307&lt;=60,"31-60",IF(F1307&lt;=90,"61-90","90+"))))</f>
        <v/>
      </c>
    </row>
    <row r="1308">
      <c r="A1308" t="inlineStr">
        <is>
          <t>0009028496</t>
        </is>
      </c>
      <c r="B1308" t="inlineStr">
        <is>
          <t>0000100400</t>
        </is>
      </c>
      <c r="C1308" s="3" t="n">
        <v>45988</v>
      </c>
      <c r="D1308" s="3" t="n">
        <v>46018</v>
      </c>
      <c r="E1308" s="4" t="n">
        <v>134.31</v>
      </c>
      <c r="F1308">
        <f>Summary!$B$3-D1308</f>
        <v/>
      </c>
      <c r="G1308">
        <f>IF(D1308&gt;Summary!$B$3,"Current",IF(F1308&lt;=30,"0-30",IF(F1308&lt;=60,"31-60",IF(F1308&lt;=90,"61-90","90+"))))</f>
        <v/>
      </c>
    </row>
    <row r="1309">
      <c r="A1309" t="inlineStr">
        <is>
          <t>0009028497</t>
        </is>
      </c>
      <c r="B1309" t="inlineStr">
        <is>
          <t>0000100300</t>
        </is>
      </c>
      <c r="C1309" s="3" t="n">
        <v>45989</v>
      </c>
      <c r="D1309" s="3" t="n">
        <v>46019</v>
      </c>
      <c r="E1309" s="4" t="n">
        <v>44.76</v>
      </c>
      <c r="F1309">
        <f>Summary!$B$3-D1309</f>
        <v/>
      </c>
      <c r="G1309">
        <f>IF(D1309&gt;Summary!$B$3,"Current",IF(F1309&lt;=30,"0-30",IF(F1309&lt;=60,"31-60",IF(F1309&lt;=90,"61-90","90+"))))</f>
        <v/>
      </c>
    </row>
    <row r="1310">
      <c r="A1310" t="inlineStr">
        <is>
          <t>0009028498</t>
        </is>
      </c>
      <c r="B1310" t="inlineStr">
        <is>
          <t>0000100219</t>
        </is>
      </c>
      <c r="C1310" s="3" t="n">
        <v>45987</v>
      </c>
      <c r="D1310" s="3" t="n">
        <v>46017</v>
      </c>
      <c r="E1310" s="4" t="n">
        <v>1826.62</v>
      </c>
      <c r="F1310">
        <f>Summary!$B$3-D1310</f>
        <v/>
      </c>
      <c r="G1310">
        <f>IF(D1310&gt;Summary!$B$3,"Current",IF(F1310&lt;=30,"0-30",IF(F1310&lt;=60,"31-60",IF(F1310&lt;=90,"61-90","90+"))))</f>
        <v/>
      </c>
    </row>
    <row r="1311">
      <c r="A1311" t="inlineStr">
        <is>
          <t>0009028499</t>
        </is>
      </c>
      <c r="B1311" t="inlineStr">
        <is>
          <t>0000100417</t>
        </is>
      </c>
      <c r="C1311" s="3" t="n">
        <v>45982</v>
      </c>
      <c r="D1311" s="3" t="n">
        <v>46042</v>
      </c>
      <c r="E1311" s="4" t="n">
        <v>777.87</v>
      </c>
      <c r="F1311">
        <f>Summary!$B$3-D1311</f>
        <v/>
      </c>
      <c r="G1311">
        <f>IF(D1311&gt;Summary!$B$3,"Current",IF(F1311&lt;=30,"0-30",IF(F1311&lt;=60,"31-60",IF(F1311&lt;=90,"61-90","90+"))))</f>
        <v/>
      </c>
    </row>
    <row r="1312">
      <c r="A1312" t="inlineStr">
        <is>
          <t>0009028500</t>
        </is>
      </c>
      <c r="B1312" t="inlineStr">
        <is>
          <t>0000100345</t>
        </is>
      </c>
      <c r="C1312" s="3" t="n">
        <v>45991</v>
      </c>
      <c r="D1312" s="3" t="n">
        <v>46021</v>
      </c>
      <c r="E1312" s="4" t="n">
        <v>372.22</v>
      </c>
      <c r="F1312">
        <f>Summary!$B$3-D1312</f>
        <v/>
      </c>
      <c r="G1312">
        <f>IF(D1312&gt;Summary!$B$3,"Current",IF(F1312&lt;=30,"0-30",IF(F1312&lt;=60,"31-60",IF(F1312&lt;=90,"61-90","90+"))))</f>
        <v/>
      </c>
    </row>
    <row r="1313">
      <c r="A1313" t="inlineStr">
        <is>
          <t>0009028501</t>
        </is>
      </c>
      <c r="B1313" t="inlineStr">
        <is>
          <t>0000100095</t>
        </is>
      </c>
      <c r="C1313" s="3" t="n">
        <v>45983</v>
      </c>
      <c r="D1313" s="3" t="n">
        <v>46028</v>
      </c>
      <c r="E1313" s="4" t="n">
        <v>3914.5</v>
      </c>
      <c r="F1313">
        <f>Summary!$B$3-D1313</f>
        <v/>
      </c>
      <c r="G1313">
        <f>IF(D1313&gt;Summary!$B$3,"Current",IF(F1313&lt;=30,"0-30",IF(F1313&lt;=60,"31-60",IF(F1313&lt;=90,"61-90","90+"))))</f>
        <v/>
      </c>
    </row>
    <row r="1314">
      <c r="A1314" t="inlineStr">
        <is>
          <t>0009028502</t>
        </is>
      </c>
      <c r="B1314" t="inlineStr">
        <is>
          <t>0000100101</t>
        </is>
      </c>
      <c r="C1314" s="3" t="n">
        <v>45989</v>
      </c>
      <c r="D1314" s="3" t="n">
        <v>46019</v>
      </c>
      <c r="E1314" s="4" t="n">
        <v>234.2</v>
      </c>
      <c r="F1314">
        <f>Summary!$B$3-D1314</f>
        <v/>
      </c>
      <c r="G1314">
        <f>IF(D1314&gt;Summary!$B$3,"Current",IF(F1314&lt;=30,"0-30",IF(F1314&lt;=60,"31-60",IF(F1314&lt;=90,"61-90","90+"))))</f>
        <v/>
      </c>
    </row>
    <row r="1315">
      <c r="A1315" t="inlineStr">
        <is>
          <t>0009028503</t>
        </is>
      </c>
      <c r="B1315" t="inlineStr">
        <is>
          <t>0000100581</t>
        </is>
      </c>
      <c r="C1315" s="3" t="n">
        <v>45987</v>
      </c>
      <c r="D1315" s="3" t="n">
        <v>46017</v>
      </c>
      <c r="E1315" s="4" t="n">
        <v>5217.01</v>
      </c>
      <c r="F1315">
        <f>Summary!$B$3-D1315</f>
        <v/>
      </c>
      <c r="G1315">
        <f>IF(D1315&gt;Summary!$B$3,"Current",IF(F1315&lt;=30,"0-30",IF(F1315&lt;=60,"31-60",IF(F1315&lt;=90,"61-90","90+"))))</f>
        <v/>
      </c>
    </row>
    <row r="1316">
      <c r="A1316" t="inlineStr">
        <is>
          <t>0009028504</t>
        </is>
      </c>
      <c r="B1316" t="inlineStr">
        <is>
          <t>0000100150</t>
        </is>
      </c>
      <c r="C1316" s="3" t="n">
        <v>45987</v>
      </c>
      <c r="D1316" s="3" t="n">
        <v>46017</v>
      </c>
      <c r="E1316" s="4" t="n">
        <v>1382.36</v>
      </c>
      <c r="F1316">
        <f>Summary!$B$3-D1316</f>
        <v/>
      </c>
      <c r="G1316">
        <f>IF(D1316&gt;Summary!$B$3,"Current",IF(F1316&lt;=30,"0-30",IF(F1316&lt;=60,"31-60",IF(F1316&lt;=90,"61-90","90+"))))</f>
        <v/>
      </c>
    </row>
    <row r="1317">
      <c r="A1317" t="inlineStr">
        <is>
          <t>0009028505</t>
        </is>
      </c>
      <c r="B1317" t="inlineStr">
        <is>
          <t>0000100149</t>
        </is>
      </c>
      <c r="C1317" s="3" t="n">
        <v>45989</v>
      </c>
      <c r="D1317" s="3" t="n">
        <v>46049</v>
      </c>
      <c r="E1317" s="4" t="n">
        <v>257.4</v>
      </c>
      <c r="F1317">
        <f>Summary!$B$3-D1317</f>
        <v/>
      </c>
      <c r="G1317">
        <f>IF(D1317&gt;Summary!$B$3,"Current",IF(F1317&lt;=30,"0-30",IF(F1317&lt;=60,"31-60",IF(F1317&lt;=90,"61-90","90+"))))</f>
        <v/>
      </c>
    </row>
    <row r="1318">
      <c r="A1318" t="inlineStr">
        <is>
          <t>0009028506</t>
        </is>
      </c>
      <c r="B1318" t="inlineStr">
        <is>
          <t>0000100545</t>
        </is>
      </c>
      <c r="C1318" s="3" t="n">
        <v>45989</v>
      </c>
      <c r="D1318" s="3" t="n">
        <v>46019</v>
      </c>
      <c r="E1318" s="4" t="n">
        <v>3909.63</v>
      </c>
      <c r="F1318">
        <f>Summary!$B$3-D1318</f>
        <v/>
      </c>
      <c r="G1318">
        <f>IF(D1318&gt;Summary!$B$3,"Current",IF(F1318&lt;=30,"0-30",IF(F1318&lt;=60,"31-60",IF(F1318&lt;=90,"61-90","90+"))))</f>
        <v/>
      </c>
    </row>
    <row r="1319">
      <c r="A1319" t="inlineStr">
        <is>
          <t>0009028507</t>
        </is>
      </c>
      <c r="B1319" t="inlineStr">
        <is>
          <t>0000100074</t>
        </is>
      </c>
      <c r="C1319" s="3" t="n">
        <v>45991</v>
      </c>
      <c r="D1319" s="3" t="n">
        <v>46036</v>
      </c>
      <c r="E1319" s="4" t="n">
        <v>5439.81</v>
      </c>
      <c r="F1319">
        <f>Summary!$B$3-D1319</f>
        <v/>
      </c>
      <c r="G1319">
        <f>IF(D1319&gt;Summary!$B$3,"Current",IF(F1319&lt;=30,"0-30",IF(F1319&lt;=60,"31-60",IF(F1319&lt;=90,"61-90","90+"))))</f>
        <v/>
      </c>
    </row>
    <row r="1320">
      <c r="A1320" t="inlineStr">
        <is>
          <t>0009028508</t>
        </is>
      </c>
      <c r="B1320" t="inlineStr">
        <is>
          <t>0000100573</t>
        </is>
      </c>
      <c r="C1320" s="3" t="n">
        <v>45984</v>
      </c>
      <c r="D1320" s="3" t="n">
        <v>46029</v>
      </c>
      <c r="E1320" s="4" t="n">
        <v>120.06</v>
      </c>
      <c r="F1320">
        <f>Summary!$B$3-D1320</f>
        <v/>
      </c>
      <c r="G1320">
        <f>IF(D1320&gt;Summary!$B$3,"Current",IF(F1320&lt;=30,"0-30",IF(F1320&lt;=60,"31-60",IF(F1320&lt;=90,"61-90","90+"))))</f>
        <v/>
      </c>
    </row>
    <row r="1321">
      <c r="A1321" t="inlineStr">
        <is>
          <t>0009028511</t>
        </is>
      </c>
      <c r="B1321" t="inlineStr">
        <is>
          <t>0000100476</t>
        </is>
      </c>
      <c r="C1321" s="3" t="n">
        <v>45987</v>
      </c>
      <c r="D1321" s="3" t="n">
        <v>46032</v>
      </c>
      <c r="E1321" s="4" t="n">
        <v>793.2</v>
      </c>
      <c r="F1321">
        <f>Summary!$B$3-D1321</f>
        <v/>
      </c>
      <c r="G1321">
        <f>IF(D1321&gt;Summary!$B$3,"Current",IF(F1321&lt;=30,"0-30",IF(F1321&lt;=60,"31-60",IF(F1321&lt;=90,"61-90","90+"))))</f>
        <v/>
      </c>
    </row>
    <row r="1322">
      <c r="A1322" t="inlineStr">
        <is>
          <t>0009028513</t>
        </is>
      </c>
      <c r="B1322" t="inlineStr">
        <is>
          <t>0000100278</t>
        </is>
      </c>
      <c r="C1322" s="3" t="n">
        <v>45984</v>
      </c>
      <c r="D1322" s="3" t="n">
        <v>46029</v>
      </c>
      <c r="E1322" s="4" t="n">
        <v>1012.63</v>
      </c>
      <c r="F1322">
        <f>Summary!$B$3-D1322</f>
        <v/>
      </c>
      <c r="G1322">
        <f>IF(D1322&gt;Summary!$B$3,"Current",IF(F1322&lt;=30,"0-30",IF(F1322&lt;=60,"31-60",IF(F1322&lt;=90,"61-90","90+"))))</f>
        <v/>
      </c>
    </row>
    <row r="1323">
      <c r="A1323" t="inlineStr">
        <is>
          <t>0009028514</t>
        </is>
      </c>
      <c r="B1323" t="inlineStr">
        <is>
          <t>0000100058</t>
        </is>
      </c>
      <c r="C1323" s="3" t="n">
        <v>45984</v>
      </c>
      <c r="D1323" s="3" t="n">
        <v>46029</v>
      </c>
      <c r="E1323" s="4" t="n">
        <v>360.38</v>
      </c>
      <c r="F1323">
        <f>Summary!$B$3-D1323</f>
        <v/>
      </c>
      <c r="G1323">
        <f>IF(D1323&gt;Summary!$B$3,"Current",IF(F1323&lt;=30,"0-30",IF(F1323&lt;=60,"31-60",IF(F1323&lt;=90,"61-90","90+"))))</f>
        <v/>
      </c>
    </row>
    <row r="1324">
      <c r="A1324" t="inlineStr">
        <is>
          <t>0009028515</t>
        </is>
      </c>
      <c r="B1324" t="inlineStr">
        <is>
          <t>0000100300</t>
        </is>
      </c>
      <c r="C1324" s="3" t="n">
        <v>45988</v>
      </c>
      <c r="D1324" s="3" t="n">
        <v>46018</v>
      </c>
      <c r="E1324" s="4" t="n">
        <v>2316.85</v>
      </c>
      <c r="F1324">
        <f>Summary!$B$3-D1324</f>
        <v/>
      </c>
      <c r="G1324">
        <f>IF(D1324&gt;Summary!$B$3,"Current",IF(F1324&lt;=30,"0-30",IF(F1324&lt;=60,"31-60",IF(F1324&lt;=90,"61-90","90+"))))</f>
        <v/>
      </c>
    </row>
    <row r="1325">
      <c r="A1325" t="inlineStr">
        <is>
          <t>0009028517</t>
        </is>
      </c>
      <c r="B1325" t="inlineStr">
        <is>
          <t>0000100299</t>
        </is>
      </c>
      <c r="C1325" s="3" t="n">
        <v>45989</v>
      </c>
      <c r="D1325" s="3" t="n">
        <v>46034</v>
      </c>
      <c r="E1325" s="4" t="n">
        <v>1863.02</v>
      </c>
      <c r="F1325">
        <f>Summary!$B$3-D1325</f>
        <v/>
      </c>
      <c r="G1325">
        <f>IF(D1325&gt;Summary!$B$3,"Current",IF(F1325&lt;=30,"0-30",IF(F1325&lt;=60,"31-60",IF(F1325&lt;=90,"61-90","90+"))))</f>
        <v/>
      </c>
    </row>
    <row r="1326">
      <c r="A1326" t="inlineStr">
        <is>
          <t>0009028518</t>
        </is>
      </c>
      <c r="B1326" t="inlineStr">
        <is>
          <t>0000100116</t>
        </is>
      </c>
      <c r="C1326" s="3" t="n">
        <v>45991</v>
      </c>
      <c r="D1326" s="3" t="n">
        <v>46036</v>
      </c>
      <c r="E1326" s="4" t="n">
        <v>435.27</v>
      </c>
      <c r="F1326">
        <f>Summary!$B$3-D1326</f>
        <v/>
      </c>
      <c r="G1326">
        <f>IF(D1326&gt;Summary!$B$3,"Current",IF(F1326&lt;=30,"0-30",IF(F1326&lt;=60,"31-60",IF(F1326&lt;=90,"61-90","90+"))))</f>
        <v/>
      </c>
    </row>
    <row r="1327">
      <c r="A1327" t="inlineStr">
        <is>
          <t>0009028519</t>
        </is>
      </c>
      <c r="B1327" t="inlineStr">
        <is>
          <t>0000100049</t>
        </is>
      </c>
      <c r="C1327" s="3" t="n">
        <v>45985</v>
      </c>
      <c r="D1327" s="3" t="n">
        <v>46015</v>
      </c>
      <c r="E1327" s="4" t="n">
        <v>1693.49</v>
      </c>
      <c r="F1327">
        <f>Summary!$B$3-D1327</f>
        <v/>
      </c>
      <c r="G1327">
        <f>IF(D1327&gt;Summary!$B$3,"Current",IF(F1327&lt;=30,"0-30",IF(F1327&lt;=60,"31-60",IF(F1327&lt;=90,"61-90","90+"))))</f>
        <v/>
      </c>
    </row>
    <row r="1328">
      <c r="A1328" t="inlineStr">
        <is>
          <t>0009028520</t>
        </is>
      </c>
      <c r="B1328" t="inlineStr">
        <is>
          <t>0000100116</t>
        </is>
      </c>
      <c r="C1328" s="3" t="n">
        <v>45985</v>
      </c>
      <c r="D1328" s="3" t="n">
        <v>46030</v>
      </c>
      <c r="E1328" s="4" t="n">
        <v>661.83</v>
      </c>
      <c r="F1328">
        <f>Summary!$B$3-D1328</f>
        <v/>
      </c>
      <c r="G1328">
        <f>IF(D1328&gt;Summary!$B$3,"Current",IF(F1328&lt;=30,"0-30",IF(F1328&lt;=60,"31-60",IF(F1328&lt;=90,"61-90","90+"))))</f>
        <v/>
      </c>
    </row>
    <row r="1329">
      <c r="A1329" t="inlineStr">
        <is>
          <t>0009028521</t>
        </is>
      </c>
      <c r="B1329" t="inlineStr">
        <is>
          <t>0000100338</t>
        </is>
      </c>
      <c r="C1329" s="3" t="n">
        <v>45988</v>
      </c>
      <c r="D1329" s="3" t="n">
        <v>46048</v>
      </c>
      <c r="E1329" s="4" t="n">
        <v>1437.11</v>
      </c>
      <c r="F1329">
        <f>Summary!$B$3-D1329</f>
        <v/>
      </c>
      <c r="G1329">
        <f>IF(D1329&gt;Summary!$B$3,"Current",IF(F1329&lt;=30,"0-30",IF(F1329&lt;=60,"31-60",IF(F1329&lt;=90,"61-90","90+"))))</f>
        <v/>
      </c>
    </row>
    <row r="1330">
      <c r="A1330" t="inlineStr">
        <is>
          <t>0009028523</t>
        </is>
      </c>
      <c r="B1330" t="inlineStr">
        <is>
          <t>0000100338</t>
        </is>
      </c>
      <c r="C1330" s="3" t="n">
        <v>45987</v>
      </c>
      <c r="D1330" s="3" t="n">
        <v>46047</v>
      </c>
      <c r="E1330" s="4" t="n">
        <v>1863.9</v>
      </c>
      <c r="F1330">
        <f>Summary!$B$3-D1330</f>
        <v/>
      </c>
      <c r="G1330">
        <f>IF(D1330&gt;Summary!$B$3,"Current",IF(F1330&lt;=30,"0-30",IF(F1330&lt;=60,"31-60",IF(F1330&lt;=90,"61-90","90+"))))</f>
        <v/>
      </c>
    </row>
    <row r="1331">
      <c r="A1331" t="inlineStr">
        <is>
          <t>0009028525</t>
        </is>
      </c>
      <c r="B1331" t="inlineStr">
        <is>
          <t>0000100267</t>
        </is>
      </c>
      <c r="C1331" s="3" t="n">
        <v>45985</v>
      </c>
      <c r="D1331" s="3" t="n">
        <v>46030</v>
      </c>
      <c r="E1331" s="4" t="n">
        <v>297</v>
      </c>
      <c r="F1331">
        <f>Summary!$B$3-D1331</f>
        <v/>
      </c>
      <c r="G1331">
        <f>IF(D1331&gt;Summary!$B$3,"Current",IF(F1331&lt;=30,"0-30",IF(F1331&lt;=60,"31-60",IF(F1331&lt;=90,"61-90","90+"))))</f>
        <v/>
      </c>
    </row>
    <row r="1332">
      <c r="A1332" t="inlineStr">
        <is>
          <t>0009028526</t>
        </is>
      </c>
      <c r="B1332" t="inlineStr">
        <is>
          <t>0000100587</t>
        </is>
      </c>
      <c r="C1332" s="3" t="n">
        <v>45998</v>
      </c>
      <c r="D1332" s="3" t="n">
        <v>46058</v>
      </c>
      <c r="E1332" s="4" t="n">
        <v>3801.7</v>
      </c>
      <c r="F1332">
        <f>Summary!$B$3-D1332</f>
        <v/>
      </c>
      <c r="G1332">
        <f>IF(D1332&gt;Summary!$B$3,"Current",IF(F1332&lt;=30,"0-30",IF(F1332&lt;=60,"31-60",IF(F1332&lt;=90,"61-90","90+"))))</f>
        <v/>
      </c>
    </row>
    <row r="1333">
      <c r="A1333" t="inlineStr">
        <is>
          <t>0009028527</t>
        </is>
      </c>
      <c r="B1333" t="inlineStr">
        <is>
          <t>0000100053</t>
        </is>
      </c>
      <c r="C1333" s="3" t="n">
        <v>45988</v>
      </c>
      <c r="D1333" s="3" t="n">
        <v>46018</v>
      </c>
      <c r="E1333" s="4" t="n">
        <v>86.61</v>
      </c>
      <c r="F1333">
        <f>Summary!$B$3-D1333</f>
        <v/>
      </c>
      <c r="G1333">
        <f>IF(D1333&gt;Summary!$B$3,"Current",IF(F1333&lt;=30,"0-30",IF(F1333&lt;=60,"31-60",IF(F1333&lt;=90,"61-90","90+"))))</f>
        <v/>
      </c>
    </row>
    <row r="1334">
      <c r="A1334" t="inlineStr">
        <is>
          <t>0009028528</t>
        </is>
      </c>
      <c r="B1334" t="inlineStr">
        <is>
          <t>0000100571</t>
        </is>
      </c>
      <c r="C1334" s="3" t="n">
        <v>45984</v>
      </c>
      <c r="D1334" s="3" t="n">
        <v>46029</v>
      </c>
      <c r="E1334" s="4" t="n">
        <v>203.64</v>
      </c>
      <c r="F1334">
        <f>Summary!$B$3-D1334</f>
        <v/>
      </c>
      <c r="G1334">
        <f>IF(D1334&gt;Summary!$B$3,"Current",IF(F1334&lt;=30,"0-30",IF(F1334&lt;=60,"31-60",IF(F1334&lt;=90,"61-90","90+"))))</f>
        <v/>
      </c>
    </row>
    <row r="1335">
      <c r="A1335" t="inlineStr">
        <is>
          <t>0009028529</t>
        </is>
      </c>
      <c r="B1335" t="inlineStr">
        <is>
          <t>0000100558</t>
        </is>
      </c>
      <c r="C1335" s="3" t="n">
        <v>45985</v>
      </c>
      <c r="D1335" s="3" t="n">
        <v>46015</v>
      </c>
      <c r="E1335" s="4" t="n">
        <v>231.74</v>
      </c>
      <c r="F1335">
        <f>Summary!$B$3-D1335</f>
        <v/>
      </c>
      <c r="G1335">
        <f>IF(D1335&gt;Summary!$B$3,"Current",IF(F1335&lt;=30,"0-30",IF(F1335&lt;=60,"31-60",IF(F1335&lt;=90,"61-90","90+"))))</f>
        <v/>
      </c>
    </row>
    <row r="1336">
      <c r="A1336" t="inlineStr">
        <is>
          <t>0009028530</t>
        </is>
      </c>
      <c r="B1336" t="inlineStr">
        <is>
          <t>0000100002</t>
        </is>
      </c>
      <c r="C1336" s="3" t="n">
        <v>45987</v>
      </c>
      <c r="D1336" s="3" t="n">
        <v>46047</v>
      </c>
      <c r="E1336" s="4" t="n">
        <v>347.15</v>
      </c>
      <c r="F1336">
        <f>Summary!$B$3-D1336</f>
        <v/>
      </c>
      <c r="G1336">
        <f>IF(D1336&gt;Summary!$B$3,"Current",IF(F1336&lt;=30,"0-30",IF(F1336&lt;=60,"31-60",IF(F1336&lt;=90,"61-90","90+"))))</f>
        <v/>
      </c>
    </row>
    <row r="1337">
      <c r="A1337" t="inlineStr">
        <is>
          <t>0009028531</t>
        </is>
      </c>
      <c r="B1337" t="inlineStr">
        <is>
          <t>0000100429</t>
        </is>
      </c>
      <c r="C1337" s="3" t="n">
        <v>45991</v>
      </c>
      <c r="D1337" s="3" t="n">
        <v>46021</v>
      </c>
      <c r="E1337" s="4" t="n">
        <v>1938.61</v>
      </c>
      <c r="F1337">
        <f>Summary!$B$3-D1337</f>
        <v/>
      </c>
      <c r="G1337">
        <f>IF(D1337&gt;Summary!$B$3,"Current",IF(F1337&lt;=30,"0-30",IF(F1337&lt;=60,"31-60",IF(F1337&lt;=90,"61-90","90+"))))</f>
        <v/>
      </c>
    </row>
    <row r="1338">
      <c r="A1338" t="inlineStr">
        <is>
          <t>0009028533</t>
        </is>
      </c>
      <c r="B1338" t="inlineStr">
        <is>
          <t>0000100049</t>
        </is>
      </c>
      <c r="C1338" s="3" t="n">
        <v>45993</v>
      </c>
      <c r="D1338" s="3" t="n">
        <v>46023</v>
      </c>
      <c r="E1338" s="4" t="n">
        <v>872.27</v>
      </c>
      <c r="F1338">
        <f>Summary!$B$3-D1338</f>
        <v/>
      </c>
      <c r="G1338">
        <f>IF(D1338&gt;Summary!$B$3,"Current",IF(F1338&lt;=30,"0-30",IF(F1338&lt;=60,"31-60",IF(F1338&lt;=90,"61-90","90+"))))</f>
        <v/>
      </c>
    </row>
    <row r="1339">
      <c r="A1339" t="inlineStr">
        <is>
          <t>0009028534</t>
        </is>
      </c>
      <c r="B1339" t="inlineStr">
        <is>
          <t>0000100371</t>
        </is>
      </c>
      <c r="C1339" s="3" t="n">
        <v>45991</v>
      </c>
      <c r="D1339" s="3" t="n">
        <v>46021</v>
      </c>
      <c r="E1339" s="4" t="n">
        <v>258.74</v>
      </c>
      <c r="F1339">
        <f>Summary!$B$3-D1339</f>
        <v/>
      </c>
      <c r="G1339">
        <f>IF(D1339&gt;Summary!$B$3,"Current",IF(F1339&lt;=30,"0-30",IF(F1339&lt;=60,"31-60",IF(F1339&lt;=90,"61-90","90+"))))</f>
        <v/>
      </c>
    </row>
    <row r="1340">
      <c r="A1340" t="inlineStr">
        <is>
          <t>0009028537</t>
        </is>
      </c>
      <c r="B1340" t="inlineStr">
        <is>
          <t>0000100355</t>
        </is>
      </c>
      <c r="C1340" s="3" t="n">
        <v>45989</v>
      </c>
      <c r="D1340" s="3" t="n">
        <v>46049</v>
      </c>
      <c r="E1340" s="4" t="n">
        <v>504.81</v>
      </c>
      <c r="F1340">
        <f>Summary!$B$3-D1340</f>
        <v/>
      </c>
      <c r="G1340">
        <f>IF(D1340&gt;Summary!$B$3,"Current",IF(F1340&lt;=30,"0-30",IF(F1340&lt;=60,"31-60",IF(F1340&lt;=90,"61-90","90+"))))</f>
        <v/>
      </c>
    </row>
    <row r="1341">
      <c r="A1341" t="inlineStr">
        <is>
          <t>0009028538</t>
        </is>
      </c>
      <c r="B1341" t="inlineStr">
        <is>
          <t>0000100226</t>
        </is>
      </c>
      <c r="C1341" s="3" t="n">
        <v>45991</v>
      </c>
      <c r="D1341" s="3" t="n">
        <v>46036</v>
      </c>
      <c r="E1341" s="4" t="n">
        <v>3097.4</v>
      </c>
      <c r="F1341">
        <f>Summary!$B$3-D1341</f>
        <v/>
      </c>
      <c r="G1341">
        <f>IF(D1341&gt;Summary!$B$3,"Current",IF(F1341&lt;=30,"0-30",IF(F1341&lt;=60,"31-60",IF(F1341&lt;=90,"61-90","90+"))))</f>
        <v/>
      </c>
    </row>
    <row r="1342">
      <c r="A1342" t="inlineStr">
        <is>
          <t>0009028539</t>
        </is>
      </c>
      <c r="B1342" t="inlineStr">
        <is>
          <t>0000100064</t>
        </is>
      </c>
      <c r="C1342" s="3" t="n">
        <v>45984</v>
      </c>
      <c r="D1342" s="3" t="n">
        <v>46014</v>
      </c>
      <c r="E1342" s="4" t="n">
        <v>2784.5</v>
      </c>
      <c r="F1342">
        <f>Summary!$B$3-D1342</f>
        <v/>
      </c>
      <c r="G1342">
        <f>IF(D1342&gt;Summary!$B$3,"Current",IF(F1342&lt;=30,"0-30",IF(F1342&lt;=60,"31-60",IF(F1342&lt;=90,"61-90","90+"))))</f>
        <v/>
      </c>
    </row>
    <row r="1343">
      <c r="A1343" t="inlineStr">
        <is>
          <t>0009028540</t>
        </is>
      </c>
      <c r="B1343" t="inlineStr">
        <is>
          <t>0000100520</t>
        </is>
      </c>
      <c r="C1343" s="3" t="n">
        <v>45988</v>
      </c>
      <c r="D1343" s="3" t="n">
        <v>46033</v>
      </c>
      <c r="E1343" s="4" t="n">
        <v>243.3</v>
      </c>
      <c r="F1343">
        <f>Summary!$B$3-D1343</f>
        <v/>
      </c>
      <c r="G1343">
        <f>IF(D1343&gt;Summary!$B$3,"Current",IF(F1343&lt;=30,"0-30",IF(F1343&lt;=60,"31-60",IF(F1343&lt;=90,"61-90","90+"))))</f>
        <v/>
      </c>
    </row>
    <row r="1344">
      <c r="A1344" t="inlineStr">
        <is>
          <t>0009028541</t>
        </is>
      </c>
      <c r="B1344" t="inlineStr">
        <is>
          <t>0000100103</t>
        </is>
      </c>
      <c r="C1344" s="3" t="n">
        <v>45988</v>
      </c>
      <c r="D1344" s="3" t="n">
        <v>46048</v>
      </c>
      <c r="E1344" s="4" t="n">
        <v>798.76</v>
      </c>
      <c r="F1344">
        <f>Summary!$B$3-D1344</f>
        <v/>
      </c>
      <c r="G1344">
        <f>IF(D1344&gt;Summary!$B$3,"Current",IF(F1344&lt;=30,"0-30",IF(F1344&lt;=60,"31-60",IF(F1344&lt;=90,"61-90","90+"))))</f>
        <v/>
      </c>
    </row>
    <row r="1345">
      <c r="A1345" t="inlineStr">
        <is>
          <t>0009028542</t>
        </is>
      </c>
      <c r="B1345" t="inlineStr">
        <is>
          <t>0000100097</t>
        </is>
      </c>
      <c r="C1345" s="3" t="n">
        <v>45990</v>
      </c>
      <c r="D1345" s="3" t="n">
        <v>46035</v>
      </c>
      <c r="E1345" s="4" t="n">
        <v>2968.85</v>
      </c>
      <c r="F1345">
        <f>Summary!$B$3-D1345</f>
        <v/>
      </c>
      <c r="G1345">
        <f>IF(D1345&gt;Summary!$B$3,"Current",IF(F1345&lt;=30,"0-30",IF(F1345&lt;=60,"31-60",IF(F1345&lt;=90,"61-90","90+"))))</f>
        <v/>
      </c>
    </row>
    <row r="1346">
      <c r="A1346" t="inlineStr">
        <is>
          <t>0009028543</t>
        </is>
      </c>
      <c r="B1346" t="inlineStr">
        <is>
          <t>0000100052</t>
        </is>
      </c>
      <c r="C1346" s="3" t="n">
        <v>45985</v>
      </c>
      <c r="D1346" s="3" t="n">
        <v>46030</v>
      </c>
      <c r="E1346" s="4" t="n">
        <v>450.34</v>
      </c>
      <c r="F1346">
        <f>Summary!$B$3-D1346</f>
        <v/>
      </c>
      <c r="G1346">
        <f>IF(D1346&gt;Summary!$B$3,"Current",IF(F1346&lt;=30,"0-30",IF(F1346&lt;=60,"31-60",IF(F1346&lt;=90,"61-90","90+"))))</f>
        <v/>
      </c>
    </row>
    <row r="1347">
      <c r="A1347" t="inlineStr">
        <is>
          <t>0009028544</t>
        </is>
      </c>
      <c r="B1347" t="inlineStr">
        <is>
          <t>0000100304</t>
        </is>
      </c>
      <c r="C1347" s="3" t="n">
        <v>45988</v>
      </c>
      <c r="D1347" s="3" t="n">
        <v>46048</v>
      </c>
      <c r="E1347" s="4" t="n">
        <v>163.32</v>
      </c>
      <c r="F1347">
        <f>Summary!$B$3-D1347</f>
        <v/>
      </c>
      <c r="G1347">
        <f>IF(D1347&gt;Summary!$B$3,"Current",IF(F1347&lt;=30,"0-30",IF(F1347&lt;=60,"31-60",IF(F1347&lt;=90,"61-90","90+"))))</f>
        <v/>
      </c>
    </row>
    <row r="1348">
      <c r="A1348" t="inlineStr">
        <is>
          <t>0009028546</t>
        </is>
      </c>
      <c r="B1348" t="inlineStr">
        <is>
          <t>0000100420</t>
        </is>
      </c>
      <c r="C1348" s="3" t="n">
        <v>45987</v>
      </c>
      <c r="D1348" s="3" t="n">
        <v>46047</v>
      </c>
      <c r="E1348" s="4" t="n">
        <v>227.04</v>
      </c>
      <c r="F1348">
        <f>Summary!$B$3-D1348</f>
        <v/>
      </c>
      <c r="G1348">
        <f>IF(D1348&gt;Summary!$B$3,"Current",IF(F1348&lt;=30,"0-30",IF(F1348&lt;=60,"31-60",IF(F1348&lt;=90,"61-90","90+"))))</f>
        <v/>
      </c>
    </row>
    <row r="1349">
      <c r="A1349" t="inlineStr">
        <is>
          <t>0009028547</t>
        </is>
      </c>
      <c r="B1349" t="inlineStr">
        <is>
          <t>0000100372</t>
        </is>
      </c>
      <c r="C1349" s="3" t="n">
        <v>45989</v>
      </c>
      <c r="D1349" s="3" t="n">
        <v>46019</v>
      </c>
      <c r="E1349" s="4" t="n">
        <v>355.28</v>
      </c>
      <c r="F1349">
        <f>Summary!$B$3-D1349</f>
        <v/>
      </c>
      <c r="G1349">
        <f>IF(D1349&gt;Summary!$B$3,"Current",IF(F1349&lt;=30,"0-30",IF(F1349&lt;=60,"31-60",IF(F1349&lt;=90,"61-90","90+"))))</f>
        <v/>
      </c>
    </row>
    <row r="1350">
      <c r="A1350" t="inlineStr">
        <is>
          <t>0009028548</t>
        </is>
      </c>
      <c r="B1350" t="inlineStr">
        <is>
          <t>0000100102</t>
        </is>
      </c>
      <c r="C1350" s="3" t="n">
        <v>45990</v>
      </c>
      <c r="D1350" s="3" t="n">
        <v>46020</v>
      </c>
      <c r="E1350" s="4" t="n">
        <v>1139.82</v>
      </c>
      <c r="F1350">
        <f>Summary!$B$3-D1350</f>
        <v/>
      </c>
      <c r="G1350">
        <f>IF(D1350&gt;Summary!$B$3,"Current",IF(F1350&lt;=30,"0-30",IF(F1350&lt;=60,"31-60",IF(F1350&lt;=90,"61-90","90+"))))</f>
        <v/>
      </c>
    </row>
    <row r="1351">
      <c r="A1351" t="inlineStr">
        <is>
          <t>0009028549</t>
        </is>
      </c>
      <c r="B1351" t="inlineStr">
        <is>
          <t>0000100253</t>
        </is>
      </c>
      <c r="C1351" s="3" t="n">
        <v>45985</v>
      </c>
      <c r="D1351" s="3" t="n">
        <v>46045</v>
      </c>
      <c r="E1351" s="4" t="n">
        <v>89.09999999999999</v>
      </c>
      <c r="F1351">
        <f>Summary!$B$3-D1351</f>
        <v/>
      </c>
      <c r="G1351">
        <f>IF(D1351&gt;Summary!$B$3,"Current",IF(F1351&lt;=30,"0-30",IF(F1351&lt;=60,"31-60",IF(F1351&lt;=90,"61-90","90+"))))</f>
        <v/>
      </c>
    </row>
    <row r="1352">
      <c r="A1352" t="inlineStr">
        <is>
          <t>0009028551</t>
        </is>
      </c>
      <c r="B1352" t="inlineStr">
        <is>
          <t>0000100124</t>
        </is>
      </c>
      <c r="C1352" s="3" t="n">
        <v>45985</v>
      </c>
      <c r="D1352" s="3" t="n">
        <v>46015</v>
      </c>
      <c r="E1352" s="4" t="n">
        <v>3788.72</v>
      </c>
      <c r="F1352">
        <f>Summary!$B$3-D1352</f>
        <v/>
      </c>
      <c r="G1352">
        <f>IF(D1352&gt;Summary!$B$3,"Current",IF(F1352&lt;=30,"0-30",IF(F1352&lt;=60,"31-60",IF(F1352&lt;=90,"61-90","90+"))))</f>
        <v/>
      </c>
    </row>
    <row r="1353">
      <c r="A1353" t="inlineStr">
        <is>
          <t>0009028553</t>
        </is>
      </c>
      <c r="B1353" t="inlineStr">
        <is>
          <t>0000100525</t>
        </is>
      </c>
      <c r="C1353" s="3" t="n">
        <v>45985</v>
      </c>
      <c r="D1353" s="3" t="n">
        <v>46030</v>
      </c>
      <c r="E1353" s="4" t="n">
        <v>874.67</v>
      </c>
      <c r="F1353">
        <f>Summary!$B$3-D1353</f>
        <v/>
      </c>
      <c r="G1353">
        <f>IF(D1353&gt;Summary!$B$3,"Current",IF(F1353&lt;=30,"0-30",IF(F1353&lt;=60,"31-60",IF(F1353&lt;=90,"61-90","90+"))))</f>
        <v/>
      </c>
    </row>
    <row r="1354">
      <c r="A1354" t="inlineStr">
        <is>
          <t>0009028554</t>
        </is>
      </c>
      <c r="B1354" t="inlineStr">
        <is>
          <t>0000100394</t>
        </is>
      </c>
      <c r="C1354" s="3" t="n">
        <v>45984</v>
      </c>
      <c r="D1354" s="3" t="n">
        <v>46044</v>
      </c>
      <c r="E1354" s="4" t="n">
        <v>479.49</v>
      </c>
      <c r="F1354">
        <f>Summary!$B$3-D1354</f>
        <v/>
      </c>
      <c r="G1354">
        <f>IF(D1354&gt;Summary!$B$3,"Current",IF(F1354&lt;=30,"0-30",IF(F1354&lt;=60,"31-60",IF(F1354&lt;=90,"61-90","90+"))))</f>
        <v/>
      </c>
    </row>
    <row r="1355">
      <c r="A1355" t="inlineStr">
        <is>
          <t>0009028556</t>
        </is>
      </c>
      <c r="B1355" t="inlineStr">
        <is>
          <t>0000100028</t>
        </is>
      </c>
      <c r="C1355" s="3" t="n">
        <v>45993</v>
      </c>
      <c r="D1355" s="3" t="n">
        <v>46038</v>
      </c>
      <c r="E1355" s="4" t="n">
        <v>732.4400000000001</v>
      </c>
      <c r="F1355">
        <f>Summary!$B$3-D1355</f>
        <v/>
      </c>
      <c r="G1355">
        <f>IF(D1355&gt;Summary!$B$3,"Current",IF(F1355&lt;=30,"0-30",IF(F1355&lt;=60,"31-60",IF(F1355&lt;=90,"61-90","90+"))))</f>
        <v/>
      </c>
    </row>
    <row r="1356">
      <c r="A1356" t="inlineStr">
        <is>
          <t>0009028557</t>
        </is>
      </c>
      <c r="B1356" t="inlineStr">
        <is>
          <t>0000100465</t>
        </is>
      </c>
      <c r="C1356" s="3" t="n">
        <v>45985</v>
      </c>
      <c r="D1356" s="3" t="n">
        <v>46045</v>
      </c>
      <c r="E1356" s="4" t="n">
        <v>117.84</v>
      </c>
      <c r="F1356">
        <f>Summary!$B$3-D1356</f>
        <v/>
      </c>
      <c r="G1356">
        <f>IF(D1356&gt;Summary!$B$3,"Current",IF(F1356&lt;=30,"0-30",IF(F1356&lt;=60,"31-60",IF(F1356&lt;=90,"61-90","90+"))))</f>
        <v/>
      </c>
    </row>
    <row r="1357">
      <c r="A1357" t="inlineStr">
        <is>
          <t>0009028558</t>
        </is>
      </c>
      <c r="B1357" t="inlineStr">
        <is>
          <t>0000100175</t>
        </is>
      </c>
      <c r="C1357" s="3" t="n">
        <v>45988</v>
      </c>
      <c r="D1357" s="3" t="n">
        <v>46048</v>
      </c>
      <c r="E1357" s="4" t="n">
        <v>818.22</v>
      </c>
      <c r="F1357">
        <f>Summary!$B$3-D1357</f>
        <v/>
      </c>
      <c r="G1357">
        <f>IF(D1357&gt;Summary!$B$3,"Current",IF(F1357&lt;=30,"0-30",IF(F1357&lt;=60,"31-60",IF(F1357&lt;=90,"61-90","90+"))))</f>
        <v/>
      </c>
    </row>
    <row r="1358">
      <c r="A1358" t="inlineStr">
        <is>
          <t>0009028559</t>
        </is>
      </c>
      <c r="B1358" t="inlineStr">
        <is>
          <t>0000100494</t>
        </is>
      </c>
      <c r="C1358" s="3" t="n">
        <v>45984</v>
      </c>
      <c r="D1358" s="3" t="n">
        <v>46029</v>
      </c>
      <c r="E1358" s="4" t="n">
        <v>2049.06</v>
      </c>
      <c r="F1358">
        <f>Summary!$B$3-D1358</f>
        <v/>
      </c>
      <c r="G1358">
        <f>IF(D1358&gt;Summary!$B$3,"Current",IF(F1358&lt;=30,"0-30",IF(F1358&lt;=60,"31-60",IF(F1358&lt;=90,"61-90","90+"))))</f>
        <v/>
      </c>
    </row>
    <row r="1359">
      <c r="A1359" t="inlineStr">
        <is>
          <t>0009028560</t>
        </is>
      </c>
      <c r="B1359" t="inlineStr">
        <is>
          <t>0000100051</t>
        </is>
      </c>
      <c r="C1359" s="3" t="n">
        <v>45989</v>
      </c>
      <c r="D1359" s="3" t="n">
        <v>46049</v>
      </c>
      <c r="E1359" s="4" t="n">
        <v>638.65</v>
      </c>
      <c r="F1359">
        <f>Summary!$B$3-D1359</f>
        <v/>
      </c>
      <c r="G1359">
        <f>IF(D1359&gt;Summary!$B$3,"Current",IF(F1359&lt;=30,"0-30",IF(F1359&lt;=60,"31-60",IF(F1359&lt;=90,"61-90","90+"))))</f>
        <v/>
      </c>
    </row>
    <row r="1360">
      <c r="A1360" t="inlineStr">
        <is>
          <t>0009028562</t>
        </is>
      </c>
      <c r="B1360" t="inlineStr">
        <is>
          <t>0000100357</t>
        </is>
      </c>
      <c r="C1360" s="3" t="n">
        <v>45995</v>
      </c>
      <c r="D1360" s="3" t="n">
        <v>46040</v>
      </c>
      <c r="E1360" s="4" t="n">
        <v>583.15</v>
      </c>
      <c r="F1360">
        <f>Summary!$B$3-D1360</f>
        <v/>
      </c>
      <c r="G1360">
        <f>IF(D1360&gt;Summary!$B$3,"Current",IF(F1360&lt;=30,"0-30",IF(F1360&lt;=60,"31-60",IF(F1360&lt;=90,"61-90","90+"))))</f>
        <v/>
      </c>
    </row>
    <row r="1361">
      <c r="A1361" t="inlineStr">
        <is>
          <t>0009028563</t>
        </is>
      </c>
      <c r="B1361" t="inlineStr">
        <is>
          <t>0000100528</t>
        </is>
      </c>
      <c r="C1361" s="3" t="n">
        <v>45985</v>
      </c>
      <c r="D1361" s="3" t="n">
        <v>46030</v>
      </c>
      <c r="E1361" s="4" t="n">
        <v>242.4</v>
      </c>
      <c r="F1361">
        <f>Summary!$B$3-D1361</f>
        <v/>
      </c>
      <c r="G1361">
        <f>IF(D1361&gt;Summary!$B$3,"Current",IF(F1361&lt;=30,"0-30",IF(F1361&lt;=60,"31-60",IF(F1361&lt;=90,"61-90","90+"))))</f>
        <v/>
      </c>
    </row>
    <row r="1362">
      <c r="A1362" t="inlineStr">
        <is>
          <t>0009028564</t>
        </is>
      </c>
      <c r="B1362" t="inlineStr">
        <is>
          <t>0000100355</t>
        </is>
      </c>
      <c r="C1362" s="3" t="n">
        <v>45988</v>
      </c>
      <c r="D1362" s="3" t="n">
        <v>46048</v>
      </c>
      <c r="E1362" s="4" t="n">
        <v>1059.65</v>
      </c>
      <c r="F1362">
        <f>Summary!$B$3-D1362</f>
        <v/>
      </c>
      <c r="G1362">
        <f>IF(D1362&gt;Summary!$B$3,"Current",IF(F1362&lt;=30,"0-30",IF(F1362&lt;=60,"31-60",IF(F1362&lt;=90,"61-90","90+"))))</f>
        <v/>
      </c>
    </row>
    <row r="1363">
      <c r="A1363" t="inlineStr">
        <is>
          <t>0009028565</t>
        </is>
      </c>
      <c r="B1363" t="inlineStr">
        <is>
          <t>0000100586</t>
        </is>
      </c>
      <c r="C1363" s="3" t="n">
        <v>45986</v>
      </c>
      <c r="D1363" s="3" t="n">
        <v>46016</v>
      </c>
      <c r="E1363" s="4" t="n">
        <v>481.34</v>
      </c>
      <c r="F1363">
        <f>Summary!$B$3-D1363</f>
        <v/>
      </c>
      <c r="G1363">
        <f>IF(D1363&gt;Summary!$B$3,"Current",IF(F1363&lt;=30,"0-30",IF(F1363&lt;=60,"31-60",IF(F1363&lt;=90,"61-90","90+"))))</f>
        <v/>
      </c>
    </row>
    <row r="1364">
      <c r="A1364" t="inlineStr">
        <is>
          <t>0009028568</t>
        </is>
      </c>
      <c r="B1364" t="inlineStr">
        <is>
          <t>0000100369</t>
        </is>
      </c>
      <c r="C1364" s="3" t="n">
        <v>45993</v>
      </c>
      <c r="D1364" s="3" t="n">
        <v>46023</v>
      </c>
      <c r="E1364" s="4" t="n">
        <v>16.84</v>
      </c>
      <c r="F1364">
        <f>Summary!$B$3-D1364</f>
        <v/>
      </c>
      <c r="G1364">
        <f>IF(D1364&gt;Summary!$B$3,"Current",IF(F1364&lt;=30,"0-30",IF(F1364&lt;=60,"31-60",IF(F1364&lt;=90,"61-90","90+"))))</f>
        <v/>
      </c>
    </row>
    <row r="1365">
      <c r="A1365" t="inlineStr">
        <is>
          <t>0009028569</t>
        </is>
      </c>
      <c r="B1365" t="inlineStr">
        <is>
          <t>0000100226</t>
        </is>
      </c>
      <c r="C1365" s="3" t="n">
        <v>45991</v>
      </c>
      <c r="D1365" s="3" t="n">
        <v>46036</v>
      </c>
      <c r="E1365" s="4" t="n">
        <v>267.75</v>
      </c>
      <c r="F1365">
        <f>Summary!$B$3-D1365</f>
        <v/>
      </c>
      <c r="G1365">
        <f>IF(D1365&gt;Summary!$B$3,"Current",IF(F1365&lt;=30,"0-30",IF(F1365&lt;=60,"31-60",IF(F1365&lt;=90,"61-90","90+"))))</f>
        <v/>
      </c>
    </row>
    <row r="1366">
      <c r="A1366" t="inlineStr">
        <is>
          <t>0009028570</t>
        </is>
      </c>
      <c r="B1366" t="inlineStr">
        <is>
          <t>0000100206</t>
        </is>
      </c>
      <c r="C1366" s="3" t="n">
        <v>45987</v>
      </c>
      <c r="D1366" s="3" t="n">
        <v>46032</v>
      </c>
      <c r="E1366" s="4" t="n">
        <v>1069.84</v>
      </c>
      <c r="F1366">
        <f>Summary!$B$3-D1366</f>
        <v/>
      </c>
      <c r="G1366">
        <f>IF(D1366&gt;Summary!$B$3,"Current",IF(F1366&lt;=30,"0-30",IF(F1366&lt;=60,"31-60",IF(F1366&lt;=90,"61-90","90+"))))</f>
        <v/>
      </c>
    </row>
    <row r="1367">
      <c r="A1367" t="inlineStr">
        <is>
          <t>0009028572</t>
        </is>
      </c>
      <c r="B1367" t="inlineStr">
        <is>
          <t>0000100049</t>
        </is>
      </c>
      <c r="C1367" s="3" t="n">
        <v>45991</v>
      </c>
      <c r="D1367" s="3" t="n">
        <v>46021</v>
      </c>
      <c r="E1367" s="4" t="n">
        <v>3429.04</v>
      </c>
      <c r="F1367">
        <f>Summary!$B$3-D1367</f>
        <v/>
      </c>
      <c r="G1367">
        <f>IF(D1367&gt;Summary!$B$3,"Current",IF(F1367&lt;=30,"0-30",IF(F1367&lt;=60,"31-60",IF(F1367&lt;=90,"61-90","90+"))))</f>
        <v/>
      </c>
    </row>
    <row r="1368">
      <c r="A1368" t="inlineStr">
        <is>
          <t>0009028573</t>
        </is>
      </c>
      <c r="B1368" t="inlineStr">
        <is>
          <t>0000100227</t>
        </is>
      </c>
      <c r="C1368" s="3" t="n">
        <v>45990</v>
      </c>
      <c r="D1368" s="3" t="n">
        <v>46020</v>
      </c>
      <c r="E1368" s="4" t="n">
        <v>3391.94</v>
      </c>
      <c r="F1368">
        <f>Summary!$B$3-D1368</f>
        <v/>
      </c>
      <c r="G1368">
        <f>IF(D1368&gt;Summary!$B$3,"Current",IF(F1368&lt;=30,"0-30",IF(F1368&lt;=60,"31-60",IF(F1368&lt;=90,"61-90","90+"))))</f>
        <v/>
      </c>
    </row>
    <row r="1369">
      <c r="A1369" t="inlineStr">
        <is>
          <t>0009028574</t>
        </is>
      </c>
      <c r="B1369" t="inlineStr">
        <is>
          <t>0000100197</t>
        </is>
      </c>
      <c r="C1369" s="3" t="n">
        <v>45988</v>
      </c>
      <c r="D1369" s="3" t="n">
        <v>46018</v>
      </c>
      <c r="E1369" s="4" t="n">
        <v>497.98</v>
      </c>
      <c r="F1369">
        <f>Summary!$B$3-D1369</f>
        <v/>
      </c>
      <c r="G1369">
        <f>IF(D1369&gt;Summary!$B$3,"Current",IF(F1369&lt;=30,"0-30",IF(F1369&lt;=60,"31-60",IF(F1369&lt;=90,"61-90","90+"))))</f>
        <v/>
      </c>
    </row>
    <row r="1370">
      <c r="A1370" t="inlineStr">
        <is>
          <t>0009028575</t>
        </is>
      </c>
      <c r="B1370" t="inlineStr">
        <is>
          <t>0000100346</t>
        </is>
      </c>
      <c r="C1370" s="3" t="n">
        <v>45987</v>
      </c>
      <c r="D1370" s="3" t="n">
        <v>46032</v>
      </c>
      <c r="E1370" s="4" t="n">
        <v>2011.8</v>
      </c>
      <c r="F1370">
        <f>Summary!$B$3-D1370</f>
        <v/>
      </c>
      <c r="G1370">
        <f>IF(D1370&gt;Summary!$B$3,"Current",IF(F1370&lt;=30,"0-30",IF(F1370&lt;=60,"31-60",IF(F1370&lt;=90,"61-90","90+"))))</f>
        <v/>
      </c>
    </row>
    <row r="1371">
      <c r="A1371" t="inlineStr">
        <is>
          <t>0009028576</t>
        </is>
      </c>
      <c r="B1371" t="inlineStr">
        <is>
          <t>0000100260</t>
        </is>
      </c>
      <c r="C1371" s="3" t="n">
        <v>45992</v>
      </c>
      <c r="D1371" s="3" t="n">
        <v>46037</v>
      </c>
      <c r="E1371" s="4" t="n">
        <v>1480.89</v>
      </c>
      <c r="F1371">
        <f>Summary!$B$3-D1371</f>
        <v/>
      </c>
      <c r="G1371">
        <f>IF(D1371&gt;Summary!$B$3,"Current",IF(F1371&lt;=30,"0-30",IF(F1371&lt;=60,"31-60",IF(F1371&lt;=90,"61-90","90+"))))</f>
        <v/>
      </c>
    </row>
    <row r="1372">
      <c r="A1372" t="inlineStr">
        <is>
          <t>0009028577</t>
        </is>
      </c>
      <c r="B1372" t="inlineStr">
        <is>
          <t>0000100219</t>
        </is>
      </c>
      <c r="C1372" s="3" t="n">
        <v>45989</v>
      </c>
      <c r="D1372" s="3" t="n">
        <v>46019</v>
      </c>
      <c r="E1372" s="4" t="n">
        <v>407.19</v>
      </c>
      <c r="F1372">
        <f>Summary!$B$3-D1372</f>
        <v/>
      </c>
      <c r="G1372">
        <f>IF(D1372&gt;Summary!$B$3,"Current",IF(F1372&lt;=30,"0-30",IF(F1372&lt;=60,"31-60",IF(F1372&lt;=90,"61-90","90+"))))</f>
        <v/>
      </c>
    </row>
    <row r="1373">
      <c r="A1373" t="inlineStr">
        <is>
          <t>0009028578</t>
        </is>
      </c>
      <c r="B1373" t="inlineStr">
        <is>
          <t>0000100228</t>
        </is>
      </c>
      <c r="C1373" s="3" t="n">
        <v>45994</v>
      </c>
      <c r="D1373" s="3" t="n">
        <v>46054</v>
      </c>
      <c r="E1373" s="4" t="n">
        <v>5297.4</v>
      </c>
      <c r="F1373">
        <f>Summary!$B$3-D1373</f>
        <v/>
      </c>
      <c r="G1373">
        <f>IF(D1373&gt;Summary!$B$3,"Current",IF(F1373&lt;=30,"0-30",IF(F1373&lt;=60,"31-60",IF(F1373&lt;=90,"61-90","90+"))))</f>
        <v/>
      </c>
    </row>
    <row r="1374">
      <c r="A1374" t="inlineStr">
        <is>
          <t>0009028579</t>
        </is>
      </c>
      <c r="B1374" t="inlineStr">
        <is>
          <t>0000100400</t>
        </is>
      </c>
      <c r="C1374" s="3" t="n">
        <v>45991</v>
      </c>
      <c r="D1374" s="3" t="n">
        <v>46021</v>
      </c>
      <c r="E1374" s="4" t="n">
        <v>994.34</v>
      </c>
      <c r="F1374">
        <f>Summary!$B$3-D1374</f>
        <v/>
      </c>
      <c r="G1374">
        <f>IF(D1374&gt;Summary!$B$3,"Current",IF(F1374&lt;=30,"0-30",IF(F1374&lt;=60,"31-60",IF(F1374&lt;=90,"61-90","90+"))))</f>
        <v/>
      </c>
    </row>
    <row r="1375">
      <c r="A1375" t="inlineStr">
        <is>
          <t>0009028580</t>
        </is>
      </c>
      <c r="B1375" t="inlineStr">
        <is>
          <t>0000100590</t>
        </is>
      </c>
      <c r="C1375" s="3" t="n">
        <v>45985</v>
      </c>
      <c r="D1375" s="3" t="n">
        <v>46015</v>
      </c>
      <c r="E1375" s="4" t="n">
        <v>179.7</v>
      </c>
      <c r="F1375">
        <f>Summary!$B$3-D1375</f>
        <v/>
      </c>
      <c r="G1375">
        <f>IF(D1375&gt;Summary!$B$3,"Current",IF(F1375&lt;=30,"0-30",IF(F1375&lt;=60,"31-60",IF(F1375&lt;=90,"61-90","90+"))))</f>
        <v/>
      </c>
    </row>
    <row r="1376">
      <c r="A1376" t="inlineStr">
        <is>
          <t>0009028581</t>
        </is>
      </c>
      <c r="B1376" t="inlineStr">
        <is>
          <t>0000100538</t>
        </is>
      </c>
      <c r="C1376" s="3" t="n">
        <v>45992</v>
      </c>
      <c r="D1376" s="3" t="n">
        <v>46022</v>
      </c>
      <c r="E1376" s="4" t="n">
        <v>2752.67</v>
      </c>
      <c r="F1376">
        <f>Summary!$B$3-D1376</f>
        <v/>
      </c>
      <c r="G1376">
        <f>IF(D1376&gt;Summary!$B$3,"Current",IF(F1376&lt;=30,"0-30",IF(F1376&lt;=60,"31-60",IF(F1376&lt;=90,"61-90","90+"))))</f>
        <v/>
      </c>
    </row>
    <row r="1377">
      <c r="A1377" t="inlineStr">
        <is>
          <t>0009028582</t>
        </is>
      </c>
      <c r="B1377" t="inlineStr">
        <is>
          <t>0000100192</t>
        </is>
      </c>
      <c r="C1377" s="3" t="n">
        <v>45990</v>
      </c>
      <c r="D1377" s="3" t="n">
        <v>46020</v>
      </c>
      <c r="E1377" s="4" t="n">
        <v>300.8</v>
      </c>
      <c r="F1377">
        <f>Summary!$B$3-D1377</f>
        <v/>
      </c>
      <c r="G1377">
        <f>IF(D1377&gt;Summary!$B$3,"Current",IF(F1377&lt;=30,"0-30",IF(F1377&lt;=60,"31-60",IF(F1377&lt;=90,"61-90","90+"))))</f>
        <v/>
      </c>
    </row>
    <row r="1378">
      <c r="A1378" t="inlineStr">
        <is>
          <t>0009028586</t>
        </is>
      </c>
      <c r="B1378" t="inlineStr">
        <is>
          <t>0000100051</t>
        </is>
      </c>
      <c r="C1378" s="3" t="n">
        <v>45986</v>
      </c>
      <c r="D1378" s="3" t="n">
        <v>46046</v>
      </c>
      <c r="E1378" s="4" t="n">
        <v>2741.82</v>
      </c>
      <c r="F1378">
        <f>Summary!$B$3-D1378</f>
        <v/>
      </c>
      <c r="G1378">
        <f>IF(D1378&gt;Summary!$B$3,"Current",IF(F1378&lt;=30,"0-30",IF(F1378&lt;=60,"31-60",IF(F1378&lt;=90,"61-90","90+"))))</f>
        <v/>
      </c>
    </row>
    <row r="1379">
      <c r="A1379" t="inlineStr">
        <is>
          <t>0009028588</t>
        </is>
      </c>
      <c r="B1379" t="inlineStr">
        <is>
          <t>0000100315</t>
        </is>
      </c>
      <c r="C1379" s="3" t="n">
        <v>45983</v>
      </c>
      <c r="D1379" s="3" t="n">
        <v>46043</v>
      </c>
      <c r="E1379" s="4" t="n">
        <v>460.02</v>
      </c>
      <c r="F1379">
        <f>Summary!$B$3-D1379</f>
        <v/>
      </c>
      <c r="G1379">
        <f>IF(D1379&gt;Summary!$B$3,"Current",IF(F1379&lt;=30,"0-30",IF(F1379&lt;=60,"31-60",IF(F1379&lt;=90,"61-90","90+"))))</f>
        <v/>
      </c>
    </row>
    <row r="1380">
      <c r="A1380" t="inlineStr">
        <is>
          <t>0009028589</t>
        </is>
      </c>
      <c r="B1380" t="inlineStr">
        <is>
          <t>0000100226</t>
        </is>
      </c>
      <c r="C1380" s="3" t="n">
        <v>45984</v>
      </c>
      <c r="D1380" s="3" t="n">
        <v>46029</v>
      </c>
      <c r="E1380" s="4" t="n">
        <v>1209.83</v>
      </c>
      <c r="F1380">
        <f>Summary!$B$3-D1380</f>
        <v/>
      </c>
      <c r="G1380">
        <f>IF(D1380&gt;Summary!$B$3,"Current",IF(F1380&lt;=30,"0-30",IF(F1380&lt;=60,"31-60",IF(F1380&lt;=90,"61-90","90+"))))</f>
        <v/>
      </c>
    </row>
    <row r="1381">
      <c r="A1381" t="inlineStr">
        <is>
          <t>0009028590</t>
        </is>
      </c>
      <c r="B1381" t="inlineStr">
        <is>
          <t>0000100202</t>
        </is>
      </c>
      <c r="C1381" s="3" t="n">
        <v>45987</v>
      </c>
      <c r="D1381" s="3" t="n">
        <v>46047</v>
      </c>
      <c r="E1381" s="4" t="n">
        <v>1670.4</v>
      </c>
      <c r="F1381">
        <f>Summary!$B$3-D1381</f>
        <v/>
      </c>
      <c r="G1381">
        <f>IF(D1381&gt;Summary!$B$3,"Current",IF(F1381&lt;=30,"0-30",IF(F1381&lt;=60,"31-60",IF(F1381&lt;=90,"61-90","90+"))))</f>
        <v/>
      </c>
    </row>
    <row r="1382">
      <c r="A1382" t="inlineStr">
        <is>
          <t>0009028591</t>
        </is>
      </c>
      <c r="B1382" t="inlineStr">
        <is>
          <t>0000100093</t>
        </is>
      </c>
      <c r="C1382" s="3" t="n">
        <v>45989</v>
      </c>
      <c r="D1382" s="3" t="n">
        <v>46019</v>
      </c>
      <c r="E1382" s="4" t="n">
        <v>14004.46</v>
      </c>
      <c r="F1382">
        <f>Summary!$B$3-D1382</f>
        <v/>
      </c>
      <c r="G1382">
        <f>IF(D1382&gt;Summary!$B$3,"Current",IF(F1382&lt;=30,"0-30",IF(F1382&lt;=60,"31-60",IF(F1382&lt;=90,"61-90","90+"))))</f>
        <v/>
      </c>
    </row>
    <row r="1383">
      <c r="A1383" t="inlineStr">
        <is>
          <t>0009028592</t>
        </is>
      </c>
      <c r="B1383" t="inlineStr">
        <is>
          <t>0000100571</t>
        </is>
      </c>
      <c r="C1383" s="3" t="n">
        <v>45989</v>
      </c>
      <c r="D1383" s="3" t="n">
        <v>46034</v>
      </c>
      <c r="E1383" s="4" t="n">
        <v>1983.43</v>
      </c>
      <c r="F1383">
        <f>Summary!$B$3-D1383</f>
        <v/>
      </c>
      <c r="G1383">
        <f>IF(D1383&gt;Summary!$B$3,"Current",IF(F1383&lt;=30,"0-30",IF(F1383&lt;=60,"31-60",IF(F1383&lt;=90,"61-90","90+"))))</f>
        <v/>
      </c>
    </row>
    <row r="1384">
      <c r="A1384" t="inlineStr">
        <is>
          <t>0009028593</t>
        </is>
      </c>
      <c r="B1384" t="inlineStr">
        <is>
          <t>0000100103</t>
        </is>
      </c>
      <c r="C1384" s="3" t="n">
        <v>45994</v>
      </c>
      <c r="D1384" s="3" t="n">
        <v>46054</v>
      </c>
      <c r="E1384" s="4" t="n">
        <v>429.38</v>
      </c>
      <c r="F1384">
        <f>Summary!$B$3-D1384</f>
        <v/>
      </c>
      <c r="G1384">
        <f>IF(D1384&gt;Summary!$B$3,"Current",IF(F1384&lt;=30,"0-30",IF(F1384&lt;=60,"31-60",IF(F1384&lt;=90,"61-90","90+"))))</f>
        <v/>
      </c>
    </row>
    <row r="1385">
      <c r="A1385" t="inlineStr">
        <is>
          <t>0009028595</t>
        </is>
      </c>
      <c r="B1385" t="inlineStr">
        <is>
          <t>0000100587</t>
        </is>
      </c>
      <c r="C1385" s="3" t="n">
        <v>45990</v>
      </c>
      <c r="D1385" s="3" t="n">
        <v>46050</v>
      </c>
      <c r="E1385" s="4" t="n">
        <v>742.83</v>
      </c>
      <c r="F1385">
        <f>Summary!$B$3-D1385</f>
        <v/>
      </c>
      <c r="G1385">
        <f>IF(D1385&gt;Summary!$B$3,"Current",IF(F1385&lt;=30,"0-30",IF(F1385&lt;=60,"31-60",IF(F1385&lt;=90,"61-90","90+"))))</f>
        <v/>
      </c>
    </row>
    <row r="1386">
      <c r="A1386" t="inlineStr">
        <is>
          <t>0009028596</t>
        </is>
      </c>
      <c r="B1386" t="inlineStr">
        <is>
          <t>0000100543</t>
        </is>
      </c>
      <c r="C1386" s="3" t="n">
        <v>45995</v>
      </c>
      <c r="D1386" s="3" t="n">
        <v>46055</v>
      </c>
      <c r="E1386" s="4" t="n">
        <v>1109.1</v>
      </c>
      <c r="F1386">
        <f>Summary!$B$3-D1386</f>
        <v/>
      </c>
      <c r="G1386">
        <f>IF(D1386&gt;Summary!$B$3,"Current",IF(F1386&lt;=30,"0-30",IF(F1386&lt;=60,"31-60",IF(F1386&lt;=90,"61-90","90+"))))</f>
        <v/>
      </c>
    </row>
    <row r="1387">
      <c r="A1387" t="inlineStr">
        <is>
          <t>0009028597</t>
        </is>
      </c>
      <c r="B1387" t="inlineStr">
        <is>
          <t>0000100440</t>
        </is>
      </c>
      <c r="C1387" s="3" t="n">
        <v>45995</v>
      </c>
      <c r="D1387" s="3" t="n">
        <v>46025</v>
      </c>
      <c r="E1387" s="4" t="n">
        <v>1402.94</v>
      </c>
      <c r="F1387">
        <f>Summary!$B$3-D1387</f>
        <v/>
      </c>
      <c r="G1387">
        <f>IF(D1387&gt;Summary!$B$3,"Current",IF(F1387&lt;=30,"0-30",IF(F1387&lt;=60,"31-60",IF(F1387&lt;=90,"61-90","90+"))))</f>
        <v/>
      </c>
    </row>
    <row r="1388">
      <c r="A1388" t="inlineStr">
        <is>
          <t>0009028598</t>
        </is>
      </c>
      <c r="B1388" t="inlineStr">
        <is>
          <t>0000100233</t>
        </is>
      </c>
      <c r="C1388" s="3" t="n">
        <v>45990</v>
      </c>
      <c r="D1388" s="3" t="n">
        <v>46035</v>
      </c>
      <c r="E1388" s="4" t="n">
        <v>521.36</v>
      </c>
      <c r="F1388">
        <f>Summary!$B$3-D1388</f>
        <v/>
      </c>
      <c r="G1388">
        <f>IF(D1388&gt;Summary!$B$3,"Current",IF(F1388&lt;=30,"0-30",IF(F1388&lt;=60,"31-60",IF(F1388&lt;=90,"61-90","90+"))))</f>
        <v/>
      </c>
    </row>
    <row r="1389">
      <c r="A1389" t="inlineStr">
        <is>
          <t>0009028599</t>
        </is>
      </c>
      <c r="B1389" t="inlineStr">
        <is>
          <t>0000100024</t>
        </is>
      </c>
      <c r="C1389" s="3" t="n">
        <v>45987</v>
      </c>
      <c r="D1389" s="3" t="n">
        <v>46047</v>
      </c>
      <c r="E1389" s="4" t="n">
        <v>1660.85</v>
      </c>
      <c r="F1389">
        <f>Summary!$B$3-D1389</f>
        <v/>
      </c>
      <c r="G1389">
        <f>IF(D1389&gt;Summary!$B$3,"Current",IF(F1389&lt;=30,"0-30",IF(F1389&lt;=60,"31-60",IF(F1389&lt;=90,"61-90","90+"))))</f>
        <v/>
      </c>
    </row>
    <row r="1390">
      <c r="A1390" t="inlineStr">
        <is>
          <t>0009028601</t>
        </is>
      </c>
      <c r="B1390" t="inlineStr">
        <is>
          <t>0000100352</t>
        </is>
      </c>
      <c r="C1390" s="3" t="n">
        <v>45993</v>
      </c>
      <c r="D1390" s="3" t="n">
        <v>46023</v>
      </c>
      <c r="E1390" s="4" t="n">
        <v>216.15</v>
      </c>
      <c r="F1390">
        <f>Summary!$B$3-D1390</f>
        <v/>
      </c>
      <c r="G1390">
        <f>IF(D1390&gt;Summary!$B$3,"Current",IF(F1390&lt;=30,"0-30",IF(F1390&lt;=60,"31-60",IF(F1390&lt;=90,"61-90","90+"))))</f>
        <v/>
      </c>
    </row>
    <row r="1391">
      <c r="A1391" t="inlineStr">
        <is>
          <t>0009028602</t>
        </is>
      </c>
      <c r="B1391" t="inlineStr">
        <is>
          <t>0000100447</t>
        </is>
      </c>
      <c r="C1391" s="3" t="n">
        <v>45988</v>
      </c>
      <c r="D1391" s="3" t="n">
        <v>46033</v>
      </c>
      <c r="E1391" s="4" t="n">
        <v>2387.56</v>
      </c>
      <c r="F1391">
        <f>Summary!$B$3-D1391</f>
        <v/>
      </c>
      <c r="G1391">
        <f>IF(D1391&gt;Summary!$B$3,"Current",IF(F1391&lt;=30,"0-30",IF(F1391&lt;=60,"31-60",IF(F1391&lt;=90,"61-90","90+"))))</f>
        <v/>
      </c>
    </row>
    <row r="1392">
      <c r="A1392" t="inlineStr">
        <is>
          <t>0009028603</t>
        </is>
      </c>
      <c r="B1392" t="inlineStr">
        <is>
          <t>0000100571</t>
        </is>
      </c>
      <c r="C1392" s="3" t="n">
        <v>45991</v>
      </c>
      <c r="D1392" s="3" t="n">
        <v>46036</v>
      </c>
      <c r="E1392" s="4" t="n">
        <v>155.15</v>
      </c>
      <c r="F1392">
        <f>Summary!$B$3-D1392</f>
        <v/>
      </c>
      <c r="G1392">
        <f>IF(D1392&gt;Summary!$B$3,"Current",IF(F1392&lt;=30,"0-30",IF(F1392&lt;=60,"31-60",IF(F1392&lt;=90,"61-90","90+"))))</f>
        <v/>
      </c>
    </row>
    <row r="1393">
      <c r="A1393" t="inlineStr">
        <is>
          <t>0009028604</t>
        </is>
      </c>
      <c r="B1393" t="inlineStr">
        <is>
          <t>0000100304</t>
        </is>
      </c>
      <c r="C1393" s="3" t="n">
        <v>45991</v>
      </c>
      <c r="D1393" s="3" t="n">
        <v>46051</v>
      </c>
      <c r="E1393" s="4" t="n">
        <v>4032.38</v>
      </c>
      <c r="F1393">
        <f>Summary!$B$3-D1393</f>
        <v/>
      </c>
      <c r="G1393">
        <f>IF(D1393&gt;Summary!$B$3,"Current",IF(F1393&lt;=30,"0-30",IF(F1393&lt;=60,"31-60",IF(F1393&lt;=90,"61-90","90+"))))</f>
        <v/>
      </c>
    </row>
    <row r="1394">
      <c r="A1394" t="inlineStr">
        <is>
          <t>0009028605</t>
        </is>
      </c>
      <c r="B1394" t="inlineStr">
        <is>
          <t>0000100258</t>
        </is>
      </c>
      <c r="C1394" s="3" t="n">
        <v>45992</v>
      </c>
      <c r="D1394" s="3" t="n">
        <v>46022</v>
      </c>
      <c r="E1394" s="4" t="n">
        <v>556.23</v>
      </c>
      <c r="F1394">
        <f>Summary!$B$3-D1394</f>
        <v/>
      </c>
      <c r="G1394">
        <f>IF(D1394&gt;Summary!$B$3,"Current",IF(F1394&lt;=30,"0-30",IF(F1394&lt;=60,"31-60",IF(F1394&lt;=90,"61-90","90+"))))</f>
        <v/>
      </c>
    </row>
    <row r="1395">
      <c r="A1395" t="inlineStr">
        <is>
          <t>0009028606</t>
        </is>
      </c>
      <c r="B1395" t="inlineStr">
        <is>
          <t>0000100007</t>
        </is>
      </c>
      <c r="C1395" s="3" t="n">
        <v>45987</v>
      </c>
      <c r="D1395" s="3" t="n">
        <v>46017</v>
      </c>
      <c r="E1395" s="4" t="n">
        <v>1271.14</v>
      </c>
      <c r="F1395">
        <f>Summary!$B$3-D1395</f>
        <v/>
      </c>
      <c r="G1395">
        <f>IF(D1395&gt;Summary!$B$3,"Current",IF(F1395&lt;=30,"0-30",IF(F1395&lt;=60,"31-60",IF(F1395&lt;=90,"61-90","90+"))))</f>
        <v/>
      </c>
    </row>
    <row r="1396">
      <c r="A1396" t="inlineStr">
        <is>
          <t>0009028607</t>
        </is>
      </c>
      <c r="B1396" t="inlineStr">
        <is>
          <t>0000100240</t>
        </is>
      </c>
      <c r="C1396" s="3" t="n">
        <v>45993</v>
      </c>
      <c r="D1396" s="3" t="n">
        <v>46023</v>
      </c>
      <c r="E1396" s="4" t="n">
        <v>478.88</v>
      </c>
      <c r="F1396">
        <f>Summary!$B$3-D1396</f>
        <v/>
      </c>
      <c r="G1396">
        <f>IF(D1396&gt;Summary!$B$3,"Current",IF(F1396&lt;=30,"0-30",IF(F1396&lt;=60,"31-60",IF(F1396&lt;=90,"61-90","90+"))))</f>
        <v/>
      </c>
    </row>
    <row r="1397">
      <c r="A1397" t="inlineStr">
        <is>
          <t>0009028609</t>
        </is>
      </c>
      <c r="B1397" t="inlineStr">
        <is>
          <t>0000100013</t>
        </is>
      </c>
      <c r="C1397" s="3" t="n">
        <v>45996</v>
      </c>
      <c r="D1397" s="3" t="n">
        <v>46056</v>
      </c>
      <c r="E1397" s="4" t="n">
        <v>1613.2</v>
      </c>
      <c r="F1397">
        <f>Summary!$B$3-D1397</f>
        <v/>
      </c>
      <c r="G1397">
        <f>IF(D1397&gt;Summary!$B$3,"Current",IF(F1397&lt;=30,"0-30",IF(F1397&lt;=60,"31-60",IF(F1397&lt;=90,"61-90","90+"))))</f>
        <v/>
      </c>
    </row>
    <row r="1398">
      <c r="A1398" t="inlineStr">
        <is>
          <t>0009028610</t>
        </is>
      </c>
      <c r="B1398" t="inlineStr">
        <is>
          <t>0000100587</t>
        </is>
      </c>
      <c r="C1398" s="3" t="n">
        <v>45988</v>
      </c>
      <c r="D1398" s="3" t="n">
        <v>46048</v>
      </c>
      <c r="E1398" s="4" t="n">
        <v>1428.9</v>
      </c>
      <c r="F1398">
        <f>Summary!$B$3-D1398</f>
        <v/>
      </c>
      <c r="G1398">
        <f>IF(D1398&gt;Summary!$B$3,"Current",IF(F1398&lt;=30,"0-30",IF(F1398&lt;=60,"31-60",IF(F1398&lt;=90,"61-90","90+"))))</f>
        <v/>
      </c>
    </row>
    <row r="1399">
      <c r="A1399" t="inlineStr">
        <is>
          <t>0009028611</t>
        </is>
      </c>
      <c r="B1399" t="inlineStr">
        <is>
          <t>0000100355</t>
        </is>
      </c>
      <c r="C1399" s="3" t="n">
        <v>45991</v>
      </c>
      <c r="D1399" s="3" t="n">
        <v>46051</v>
      </c>
      <c r="E1399" s="4" t="n">
        <v>656.12</v>
      </c>
      <c r="F1399">
        <f>Summary!$B$3-D1399</f>
        <v/>
      </c>
      <c r="G1399">
        <f>IF(D1399&gt;Summary!$B$3,"Current",IF(F1399&lt;=30,"0-30",IF(F1399&lt;=60,"31-60",IF(F1399&lt;=90,"61-90","90+"))))</f>
        <v/>
      </c>
    </row>
    <row r="1400">
      <c r="A1400" t="inlineStr">
        <is>
          <t>0009028612</t>
        </is>
      </c>
      <c r="B1400" t="inlineStr">
        <is>
          <t>0000100202</t>
        </is>
      </c>
      <c r="C1400" s="3" t="n">
        <v>45992</v>
      </c>
      <c r="D1400" s="3" t="n">
        <v>46052</v>
      </c>
      <c r="E1400" s="4" t="n">
        <v>185.24</v>
      </c>
      <c r="F1400">
        <f>Summary!$B$3-D1400</f>
        <v/>
      </c>
      <c r="G1400">
        <f>IF(D1400&gt;Summary!$B$3,"Current",IF(F1400&lt;=30,"0-30",IF(F1400&lt;=60,"31-60",IF(F1400&lt;=90,"61-90","90+"))))</f>
        <v/>
      </c>
    </row>
    <row r="1401">
      <c r="A1401" t="inlineStr">
        <is>
          <t>0009028613</t>
        </is>
      </c>
      <c r="B1401" t="inlineStr">
        <is>
          <t>0000100116</t>
        </is>
      </c>
      <c r="C1401" s="3" t="n">
        <v>45994</v>
      </c>
      <c r="D1401" s="3" t="n">
        <v>46039</v>
      </c>
      <c r="E1401" s="4" t="n">
        <v>5150.59</v>
      </c>
      <c r="F1401">
        <f>Summary!$B$3-D1401</f>
        <v/>
      </c>
      <c r="G1401">
        <f>IF(D1401&gt;Summary!$B$3,"Current",IF(F1401&lt;=30,"0-30",IF(F1401&lt;=60,"31-60",IF(F1401&lt;=90,"61-90","90+"))))</f>
        <v/>
      </c>
    </row>
    <row r="1402">
      <c r="A1402" t="inlineStr">
        <is>
          <t>0009028614</t>
        </is>
      </c>
      <c r="B1402" t="inlineStr">
        <is>
          <t>0000100056</t>
        </is>
      </c>
      <c r="C1402" s="3" t="n">
        <v>45991</v>
      </c>
      <c r="D1402" s="3" t="n">
        <v>46051</v>
      </c>
      <c r="E1402" s="4" t="n">
        <v>589.77</v>
      </c>
      <c r="F1402">
        <f>Summary!$B$3-D1402</f>
        <v/>
      </c>
      <c r="G1402">
        <f>IF(D1402&gt;Summary!$B$3,"Current",IF(F1402&lt;=30,"0-30",IF(F1402&lt;=60,"31-60",IF(F1402&lt;=90,"61-90","90+"))))</f>
        <v/>
      </c>
    </row>
    <row r="1403">
      <c r="A1403" t="inlineStr">
        <is>
          <t>0009028615</t>
        </is>
      </c>
      <c r="B1403" t="inlineStr">
        <is>
          <t>0000100269</t>
        </is>
      </c>
      <c r="C1403" s="3" t="n">
        <v>45996</v>
      </c>
      <c r="D1403" s="3" t="n">
        <v>46026</v>
      </c>
      <c r="E1403" s="4" t="n">
        <v>857.24</v>
      </c>
      <c r="F1403">
        <f>Summary!$B$3-D1403</f>
        <v/>
      </c>
      <c r="G1403">
        <f>IF(D1403&gt;Summary!$B$3,"Current",IF(F1403&lt;=30,"0-30",IF(F1403&lt;=60,"31-60",IF(F1403&lt;=90,"61-90","90+"))))</f>
        <v/>
      </c>
    </row>
    <row r="1404">
      <c r="A1404" t="inlineStr">
        <is>
          <t>0009028616</t>
        </is>
      </c>
      <c r="B1404" t="inlineStr">
        <is>
          <t>0000100571</t>
        </is>
      </c>
      <c r="C1404" s="3" t="n">
        <v>45992</v>
      </c>
      <c r="D1404" s="3" t="n">
        <v>46037</v>
      </c>
      <c r="E1404" s="4" t="n">
        <v>1607.21</v>
      </c>
      <c r="F1404">
        <f>Summary!$B$3-D1404</f>
        <v/>
      </c>
      <c r="G1404">
        <f>IF(D1404&gt;Summary!$B$3,"Current",IF(F1404&lt;=30,"0-30",IF(F1404&lt;=60,"31-60",IF(F1404&lt;=90,"61-90","90+"))))</f>
        <v/>
      </c>
    </row>
    <row r="1405">
      <c r="A1405" t="inlineStr">
        <is>
          <t>0009028617</t>
        </is>
      </c>
      <c r="B1405" t="inlineStr">
        <is>
          <t>0000100348</t>
        </is>
      </c>
      <c r="C1405" s="3" t="n">
        <v>45992</v>
      </c>
      <c r="D1405" s="3" t="n">
        <v>46052</v>
      </c>
      <c r="E1405" s="4" t="n">
        <v>432.65</v>
      </c>
      <c r="F1405">
        <f>Summary!$B$3-D1405</f>
        <v/>
      </c>
      <c r="G1405">
        <f>IF(D1405&gt;Summary!$B$3,"Current",IF(F1405&lt;=30,"0-30",IF(F1405&lt;=60,"31-60",IF(F1405&lt;=90,"61-90","90+"))))</f>
        <v/>
      </c>
    </row>
    <row r="1406">
      <c r="A1406" t="inlineStr">
        <is>
          <t>0009028619</t>
        </is>
      </c>
      <c r="B1406" t="inlineStr">
        <is>
          <t>0000100202</t>
        </is>
      </c>
      <c r="C1406" s="3" t="n">
        <v>45992</v>
      </c>
      <c r="D1406" s="3" t="n">
        <v>46052</v>
      </c>
      <c r="E1406" s="4" t="n">
        <v>1678.81</v>
      </c>
      <c r="F1406">
        <f>Summary!$B$3-D1406</f>
        <v/>
      </c>
      <c r="G1406">
        <f>IF(D1406&gt;Summary!$B$3,"Current",IF(F1406&lt;=30,"0-30",IF(F1406&lt;=60,"31-60",IF(F1406&lt;=90,"61-90","90+"))))</f>
        <v/>
      </c>
    </row>
    <row r="1407">
      <c r="A1407" t="inlineStr">
        <is>
          <t>0009028620</t>
        </is>
      </c>
      <c r="B1407" t="inlineStr">
        <is>
          <t>0000100313</t>
        </is>
      </c>
      <c r="C1407" s="3" t="n">
        <v>45994</v>
      </c>
      <c r="D1407" s="3" t="n">
        <v>46054</v>
      </c>
      <c r="E1407" s="4" t="n">
        <v>1280.81</v>
      </c>
      <c r="F1407">
        <f>Summary!$B$3-D1407</f>
        <v/>
      </c>
      <c r="G1407">
        <f>IF(D1407&gt;Summary!$B$3,"Current",IF(F1407&lt;=30,"0-30",IF(F1407&lt;=60,"31-60",IF(F1407&lt;=90,"61-90","90+"))))</f>
        <v/>
      </c>
    </row>
    <row r="1408">
      <c r="A1408" t="inlineStr">
        <is>
          <t>0009028621</t>
        </is>
      </c>
      <c r="B1408" t="inlineStr">
        <is>
          <t>0000100490</t>
        </is>
      </c>
      <c r="C1408" s="3" t="n">
        <v>45988</v>
      </c>
      <c r="D1408" s="3" t="n">
        <v>46018</v>
      </c>
      <c r="E1408" s="4" t="n">
        <v>570.9400000000001</v>
      </c>
      <c r="F1408">
        <f>Summary!$B$3-D1408</f>
        <v/>
      </c>
      <c r="G1408">
        <f>IF(D1408&gt;Summary!$B$3,"Current",IF(F1408&lt;=30,"0-30",IF(F1408&lt;=60,"31-60",IF(F1408&lt;=90,"61-90","90+"))))</f>
        <v/>
      </c>
    </row>
    <row r="1409">
      <c r="A1409" t="inlineStr">
        <is>
          <t>0009028622</t>
        </is>
      </c>
      <c r="B1409" t="inlineStr">
        <is>
          <t>0000100206</t>
        </is>
      </c>
      <c r="C1409" s="3" t="n">
        <v>45986</v>
      </c>
      <c r="D1409" s="3" t="n">
        <v>46031</v>
      </c>
      <c r="E1409" s="4" t="n">
        <v>222.48</v>
      </c>
      <c r="F1409">
        <f>Summary!$B$3-D1409</f>
        <v/>
      </c>
      <c r="G1409">
        <f>IF(D1409&gt;Summary!$B$3,"Current",IF(F1409&lt;=30,"0-30",IF(F1409&lt;=60,"31-60",IF(F1409&lt;=90,"61-90","90+"))))</f>
        <v/>
      </c>
    </row>
    <row r="1410">
      <c r="A1410" t="inlineStr">
        <is>
          <t>0009028623</t>
        </is>
      </c>
      <c r="B1410" t="inlineStr">
        <is>
          <t>0000100207</t>
        </is>
      </c>
      <c r="C1410" s="3" t="n">
        <v>45989</v>
      </c>
      <c r="D1410" s="3" t="n">
        <v>46019</v>
      </c>
      <c r="E1410" s="4" t="n">
        <v>82.8</v>
      </c>
      <c r="F1410">
        <f>Summary!$B$3-D1410</f>
        <v/>
      </c>
      <c r="G1410">
        <f>IF(D1410&gt;Summary!$B$3,"Current",IF(F1410&lt;=30,"0-30",IF(F1410&lt;=60,"31-60",IF(F1410&lt;=90,"61-90","90+"))))</f>
        <v/>
      </c>
    </row>
    <row r="1411">
      <c r="A1411" t="inlineStr">
        <is>
          <t>0009028624</t>
        </is>
      </c>
      <c r="B1411" t="inlineStr">
        <is>
          <t>0000100000</t>
        </is>
      </c>
      <c r="C1411" s="3" t="n">
        <v>45990</v>
      </c>
      <c r="D1411" s="3" t="n">
        <v>46020</v>
      </c>
      <c r="E1411" s="4" t="n">
        <v>84.65000000000001</v>
      </c>
      <c r="F1411">
        <f>Summary!$B$3-D1411</f>
        <v/>
      </c>
      <c r="G1411">
        <f>IF(D1411&gt;Summary!$B$3,"Current",IF(F1411&lt;=30,"0-30",IF(F1411&lt;=60,"31-60",IF(F1411&lt;=90,"61-90","90+"))))</f>
        <v/>
      </c>
    </row>
    <row r="1412">
      <c r="A1412" t="inlineStr">
        <is>
          <t>0009028625</t>
        </is>
      </c>
      <c r="B1412" t="inlineStr">
        <is>
          <t>0000100327</t>
        </is>
      </c>
      <c r="C1412" s="3" t="n">
        <v>45989</v>
      </c>
      <c r="D1412" s="3" t="n">
        <v>46049</v>
      </c>
      <c r="E1412" s="4" t="n">
        <v>2330.1</v>
      </c>
      <c r="F1412">
        <f>Summary!$B$3-D1412</f>
        <v/>
      </c>
      <c r="G1412">
        <f>IF(D1412&gt;Summary!$B$3,"Current",IF(F1412&lt;=30,"0-30",IF(F1412&lt;=60,"31-60",IF(F1412&lt;=90,"61-90","90+"))))</f>
        <v/>
      </c>
    </row>
    <row r="1413">
      <c r="A1413" t="inlineStr">
        <is>
          <t>0009028626</t>
        </is>
      </c>
      <c r="B1413" t="inlineStr">
        <is>
          <t>0000100458</t>
        </is>
      </c>
      <c r="C1413" s="3" t="n">
        <v>45987</v>
      </c>
      <c r="D1413" s="3" t="n">
        <v>46032</v>
      </c>
      <c r="E1413" s="4" t="n">
        <v>376.07</v>
      </c>
      <c r="F1413">
        <f>Summary!$B$3-D1413</f>
        <v/>
      </c>
      <c r="G1413">
        <f>IF(D1413&gt;Summary!$B$3,"Current",IF(F1413&lt;=30,"0-30",IF(F1413&lt;=60,"31-60",IF(F1413&lt;=90,"61-90","90+"))))</f>
        <v/>
      </c>
    </row>
    <row r="1414">
      <c r="A1414" t="inlineStr">
        <is>
          <t>0009028627</t>
        </is>
      </c>
      <c r="B1414" t="inlineStr">
        <is>
          <t>0000100352</t>
        </is>
      </c>
      <c r="C1414" s="3" t="n">
        <v>45990</v>
      </c>
      <c r="D1414" s="3" t="n">
        <v>46020</v>
      </c>
      <c r="E1414" s="4" t="n">
        <v>7476.78</v>
      </c>
      <c r="F1414">
        <f>Summary!$B$3-D1414</f>
        <v/>
      </c>
      <c r="G1414">
        <f>IF(D1414&gt;Summary!$B$3,"Current",IF(F1414&lt;=30,"0-30",IF(F1414&lt;=60,"31-60",IF(F1414&lt;=90,"61-90","90+"))))</f>
        <v/>
      </c>
    </row>
    <row r="1415">
      <c r="A1415" t="inlineStr">
        <is>
          <t>0009028628</t>
        </is>
      </c>
      <c r="B1415" t="inlineStr">
        <is>
          <t>0000100514</t>
        </is>
      </c>
      <c r="C1415" s="3" t="n">
        <v>45991</v>
      </c>
      <c r="D1415" s="3" t="n">
        <v>46051</v>
      </c>
      <c r="E1415" s="4" t="n">
        <v>1988.77</v>
      </c>
      <c r="F1415">
        <f>Summary!$B$3-D1415</f>
        <v/>
      </c>
      <c r="G1415">
        <f>IF(D1415&gt;Summary!$B$3,"Current",IF(F1415&lt;=30,"0-30",IF(F1415&lt;=60,"31-60",IF(F1415&lt;=90,"61-90","90+"))))</f>
        <v/>
      </c>
    </row>
    <row r="1416">
      <c r="A1416" t="inlineStr">
        <is>
          <t>0009028630</t>
        </is>
      </c>
      <c r="B1416" t="inlineStr">
        <is>
          <t>0000100465</t>
        </is>
      </c>
      <c r="C1416" s="3" t="n">
        <v>45992</v>
      </c>
      <c r="D1416" s="3" t="n">
        <v>46052</v>
      </c>
      <c r="E1416" s="4" t="n">
        <v>1533.92</v>
      </c>
      <c r="F1416">
        <f>Summary!$B$3-D1416</f>
        <v/>
      </c>
      <c r="G1416">
        <f>IF(D1416&gt;Summary!$B$3,"Current",IF(F1416&lt;=30,"0-30",IF(F1416&lt;=60,"31-60",IF(F1416&lt;=90,"61-90","90+"))))</f>
        <v/>
      </c>
    </row>
    <row r="1417">
      <c r="A1417" t="inlineStr">
        <is>
          <t>0009028631</t>
        </is>
      </c>
      <c r="B1417" t="inlineStr">
        <is>
          <t>0000100474</t>
        </is>
      </c>
      <c r="C1417" s="3" t="n">
        <v>45990</v>
      </c>
      <c r="D1417" s="3" t="n">
        <v>46050</v>
      </c>
      <c r="E1417" s="4" t="n">
        <v>232.14</v>
      </c>
      <c r="F1417">
        <f>Summary!$B$3-D1417</f>
        <v/>
      </c>
      <c r="G1417">
        <f>IF(D1417&gt;Summary!$B$3,"Current",IF(F1417&lt;=30,"0-30",IF(F1417&lt;=60,"31-60",IF(F1417&lt;=90,"61-90","90+"))))</f>
        <v/>
      </c>
    </row>
    <row r="1418">
      <c r="A1418" t="inlineStr">
        <is>
          <t>0009028632</t>
        </is>
      </c>
      <c r="B1418" t="inlineStr">
        <is>
          <t>0000100417</t>
        </is>
      </c>
      <c r="C1418" s="3" t="n">
        <v>45986</v>
      </c>
      <c r="D1418" s="3" t="n">
        <v>46046</v>
      </c>
      <c r="E1418" s="4" t="n">
        <v>1057.82</v>
      </c>
      <c r="F1418">
        <f>Summary!$B$3-D1418</f>
        <v/>
      </c>
      <c r="G1418">
        <f>IF(D1418&gt;Summary!$B$3,"Current",IF(F1418&lt;=30,"0-30",IF(F1418&lt;=60,"31-60",IF(F1418&lt;=90,"61-90","90+"))))</f>
        <v/>
      </c>
    </row>
    <row r="1419">
      <c r="A1419" t="inlineStr">
        <is>
          <t>0009028633</t>
        </is>
      </c>
      <c r="B1419" t="inlineStr">
        <is>
          <t>0000100484</t>
        </is>
      </c>
      <c r="C1419" s="3" t="n">
        <v>45990</v>
      </c>
      <c r="D1419" s="3" t="n">
        <v>46050</v>
      </c>
      <c r="E1419" s="4" t="n">
        <v>148.8</v>
      </c>
      <c r="F1419">
        <f>Summary!$B$3-D1419</f>
        <v/>
      </c>
      <c r="G1419">
        <f>IF(D1419&gt;Summary!$B$3,"Current",IF(F1419&lt;=30,"0-30",IF(F1419&lt;=60,"31-60",IF(F1419&lt;=90,"61-90","90+"))))</f>
        <v/>
      </c>
    </row>
    <row r="1420">
      <c r="A1420" t="inlineStr">
        <is>
          <t>0009028634</t>
        </is>
      </c>
      <c r="B1420" t="inlineStr">
        <is>
          <t>0000100417</t>
        </is>
      </c>
      <c r="C1420" s="3" t="n">
        <v>45991</v>
      </c>
      <c r="D1420" s="3" t="n">
        <v>46051</v>
      </c>
      <c r="E1420" s="4" t="n">
        <v>641.6900000000001</v>
      </c>
      <c r="F1420">
        <f>Summary!$B$3-D1420</f>
        <v/>
      </c>
      <c r="G1420">
        <f>IF(D1420&gt;Summary!$B$3,"Current",IF(F1420&lt;=30,"0-30",IF(F1420&lt;=60,"31-60",IF(F1420&lt;=90,"61-90","90+"))))</f>
        <v/>
      </c>
    </row>
    <row r="1421">
      <c r="A1421" t="inlineStr">
        <is>
          <t>0009028635</t>
        </is>
      </c>
      <c r="B1421" t="inlineStr">
        <is>
          <t>0000100262</t>
        </is>
      </c>
      <c r="C1421" s="3" t="n">
        <v>45994</v>
      </c>
      <c r="D1421" s="3" t="n">
        <v>46039</v>
      </c>
      <c r="E1421" s="4" t="n">
        <v>52.98</v>
      </c>
      <c r="F1421">
        <f>Summary!$B$3-D1421</f>
        <v/>
      </c>
      <c r="G1421">
        <f>IF(D1421&gt;Summary!$B$3,"Current",IF(F1421&lt;=30,"0-30",IF(F1421&lt;=60,"31-60",IF(F1421&lt;=90,"61-90","90+"))))</f>
        <v/>
      </c>
    </row>
    <row r="1422">
      <c r="A1422" t="inlineStr">
        <is>
          <t>0009028636</t>
        </is>
      </c>
      <c r="B1422" t="inlineStr">
        <is>
          <t>0000100049</t>
        </is>
      </c>
      <c r="C1422" s="3" t="n">
        <v>45989</v>
      </c>
      <c r="D1422" s="3" t="n">
        <v>46019</v>
      </c>
      <c r="E1422" s="4" t="n">
        <v>56.07</v>
      </c>
      <c r="F1422">
        <f>Summary!$B$3-D1422</f>
        <v/>
      </c>
      <c r="G1422">
        <f>IF(D1422&gt;Summary!$B$3,"Current",IF(F1422&lt;=30,"0-30",IF(F1422&lt;=60,"31-60",IF(F1422&lt;=90,"61-90","90+"))))</f>
        <v/>
      </c>
    </row>
    <row r="1423">
      <c r="A1423" t="inlineStr">
        <is>
          <t>0009028637</t>
        </is>
      </c>
      <c r="B1423" t="inlineStr">
        <is>
          <t>0000100139</t>
        </is>
      </c>
      <c r="C1423" s="3" t="n">
        <v>45988</v>
      </c>
      <c r="D1423" s="3" t="n">
        <v>46018</v>
      </c>
      <c r="E1423" s="4" t="n">
        <v>497.03</v>
      </c>
      <c r="F1423">
        <f>Summary!$B$3-D1423</f>
        <v/>
      </c>
      <c r="G1423">
        <f>IF(D1423&gt;Summary!$B$3,"Current",IF(F1423&lt;=30,"0-30",IF(F1423&lt;=60,"31-60",IF(F1423&lt;=90,"61-90","90+"))))</f>
        <v/>
      </c>
    </row>
    <row r="1424">
      <c r="A1424" t="inlineStr">
        <is>
          <t>0009028639</t>
        </is>
      </c>
      <c r="B1424" t="inlineStr">
        <is>
          <t>0000100529</t>
        </is>
      </c>
      <c r="C1424" s="3" t="n">
        <v>45988</v>
      </c>
      <c r="D1424" s="3" t="n">
        <v>46048</v>
      </c>
      <c r="E1424" s="4" t="n">
        <v>599.22</v>
      </c>
      <c r="F1424">
        <f>Summary!$B$3-D1424</f>
        <v/>
      </c>
      <c r="G1424">
        <f>IF(D1424&gt;Summary!$B$3,"Current",IF(F1424&lt;=30,"0-30",IF(F1424&lt;=60,"31-60",IF(F1424&lt;=90,"61-90","90+"))))</f>
        <v/>
      </c>
    </row>
    <row r="1425">
      <c r="A1425" t="inlineStr">
        <is>
          <t>0009028640</t>
        </is>
      </c>
      <c r="B1425" t="inlineStr">
        <is>
          <t>0000100557</t>
        </is>
      </c>
      <c r="C1425" s="3" t="n">
        <v>45990</v>
      </c>
      <c r="D1425" s="3" t="n">
        <v>46020</v>
      </c>
      <c r="E1425" s="4" t="n">
        <v>529.04</v>
      </c>
      <c r="F1425">
        <f>Summary!$B$3-D1425</f>
        <v/>
      </c>
      <c r="G1425">
        <f>IF(D1425&gt;Summary!$B$3,"Current",IF(F1425&lt;=30,"0-30",IF(F1425&lt;=60,"31-60",IF(F1425&lt;=90,"61-90","90+"))))</f>
        <v/>
      </c>
    </row>
    <row r="1426">
      <c r="A1426" t="inlineStr">
        <is>
          <t>0009028641</t>
        </is>
      </c>
      <c r="B1426" t="inlineStr">
        <is>
          <t>0000100074</t>
        </is>
      </c>
      <c r="C1426" s="3" t="n">
        <v>45991</v>
      </c>
      <c r="D1426" s="3" t="n">
        <v>46036</v>
      </c>
      <c r="E1426" s="4" t="n">
        <v>18.21</v>
      </c>
      <c r="F1426">
        <f>Summary!$B$3-D1426</f>
        <v/>
      </c>
      <c r="G1426">
        <f>IF(D1426&gt;Summary!$B$3,"Current",IF(F1426&lt;=30,"0-30",IF(F1426&lt;=60,"31-60",IF(F1426&lt;=90,"61-90","90+"))))</f>
        <v/>
      </c>
    </row>
    <row r="1427">
      <c r="A1427" t="inlineStr">
        <is>
          <t>0009028642</t>
        </is>
      </c>
      <c r="B1427" t="inlineStr">
        <is>
          <t>0000100107</t>
        </is>
      </c>
      <c r="C1427" s="3" t="n">
        <v>45990</v>
      </c>
      <c r="D1427" s="3" t="n">
        <v>46035</v>
      </c>
      <c r="E1427" s="4" t="n">
        <v>1678.9</v>
      </c>
      <c r="F1427">
        <f>Summary!$B$3-D1427</f>
        <v/>
      </c>
      <c r="G1427">
        <f>IF(D1427&gt;Summary!$B$3,"Current",IF(F1427&lt;=30,"0-30",IF(F1427&lt;=60,"31-60",IF(F1427&lt;=90,"61-90","90+"))))</f>
        <v/>
      </c>
    </row>
    <row r="1428">
      <c r="A1428" t="inlineStr">
        <is>
          <t>0009028643</t>
        </is>
      </c>
      <c r="B1428" t="inlineStr">
        <is>
          <t>0000100158</t>
        </is>
      </c>
      <c r="C1428" s="3" t="n">
        <v>45989</v>
      </c>
      <c r="D1428" s="3" t="n">
        <v>46019</v>
      </c>
      <c r="E1428" s="4" t="n">
        <v>579.78</v>
      </c>
      <c r="F1428">
        <f>Summary!$B$3-D1428</f>
        <v/>
      </c>
      <c r="G1428">
        <f>IF(D1428&gt;Summary!$B$3,"Current",IF(F1428&lt;=30,"0-30",IF(F1428&lt;=60,"31-60",IF(F1428&lt;=90,"61-90","90+"))))</f>
        <v/>
      </c>
    </row>
    <row r="1429">
      <c r="A1429" t="inlineStr">
        <is>
          <t>0009028644</t>
        </is>
      </c>
      <c r="B1429" t="inlineStr">
        <is>
          <t>0000100249</t>
        </is>
      </c>
      <c r="C1429" s="3" t="n">
        <v>45994</v>
      </c>
      <c r="D1429" s="3" t="n">
        <v>46054</v>
      </c>
      <c r="E1429" s="4" t="n">
        <v>89.17</v>
      </c>
      <c r="F1429">
        <f>Summary!$B$3-D1429</f>
        <v/>
      </c>
      <c r="G1429">
        <f>IF(D1429&gt;Summary!$B$3,"Current",IF(F1429&lt;=30,"0-30",IF(F1429&lt;=60,"31-60",IF(F1429&lt;=90,"61-90","90+"))))</f>
        <v/>
      </c>
    </row>
    <row r="1430">
      <c r="A1430" t="inlineStr">
        <is>
          <t>0009028645</t>
        </is>
      </c>
      <c r="B1430" t="inlineStr">
        <is>
          <t>0000100016</t>
        </is>
      </c>
      <c r="C1430" s="3" t="n">
        <v>45997</v>
      </c>
      <c r="D1430" s="3" t="n">
        <v>46042</v>
      </c>
      <c r="E1430" s="4" t="n">
        <v>4863.5</v>
      </c>
      <c r="F1430">
        <f>Summary!$B$3-D1430</f>
        <v/>
      </c>
      <c r="G1430">
        <f>IF(D1430&gt;Summary!$B$3,"Current",IF(F1430&lt;=30,"0-30",IF(F1430&lt;=60,"31-60",IF(F1430&lt;=90,"61-90","90+"))))</f>
        <v/>
      </c>
    </row>
    <row r="1431">
      <c r="A1431" t="inlineStr">
        <is>
          <t>0009028646</t>
        </is>
      </c>
      <c r="B1431" t="inlineStr">
        <is>
          <t>0000100588</t>
        </is>
      </c>
      <c r="C1431" s="3" t="n">
        <v>45996</v>
      </c>
      <c r="D1431" s="3" t="n">
        <v>46026</v>
      </c>
      <c r="E1431" s="4" t="n">
        <v>3104.29</v>
      </c>
      <c r="F1431">
        <f>Summary!$B$3-D1431</f>
        <v/>
      </c>
      <c r="G1431">
        <f>IF(D1431&gt;Summary!$B$3,"Current",IF(F1431&lt;=30,"0-30",IF(F1431&lt;=60,"31-60",IF(F1431&lt;=90,"61-90","90+"))))</f>
        <v/>
      </c>
    </row>
    <row r="1432">
      <c r="A1432" t="inlineStr">
        <is>
          <t>0009028647</t>
        </is>
      </c>
      <c r="B1432" t="inlineStr">
        <is>
          <t>0000100447</t>
        </is>
      </c>
      <c r="C1432" s="3" t="n">
        <v>45989</v>
      </c>
      <c r="D1432" s="3" t="n">
        <v>46034</v>
      </c>
      <c r="E1432" s="4" t="n">
        <v>1627.48</v>
      </c>
      <c r="F1432">
        <f>Summary!$B$3-D1432</f>
        <v/>
      </c>
      <c r="G1432">
        <f>IF(D1432&gt;Summary!$B$3,"Current",IF(F1432&lt;=30,"0-30",IF(F1432&lt;=60,"31-60",IF(F1432&lt;=90,"61-90","90+"))))</f>
        <v/>
      </c>
    </row>
    <row r="1433">
      <c r="A1433" t="inlineStr">
        <is>
          <t>0009028648</t>
        </is>
      </c>
      <c r="B1433" t="inlineStr">
        <is>
          <t>0000100344</t>
        </is>
      </c>
      <c r="C1433" s="3" t="n">
        <v>45987</v>
      </c>
      <c r="D1433" s="3" t="n">
        <v>46017</v>
      </c>
      <c r="E1433" s="4" t="n">
        <v>1121.34</v>
      </c>
      <c r="F1433">
        <f>Summary!$B$3-D1433</f>
        <v/>
      </c>
      <c r="G1433">
        <f>IF(D1433&gt;Summary!$B$3,"Current",IF(F1433&lt;=30,"0-30",IF(F1433&lt;=60,"31-60",IF(F1433&lt;=90,"61-90","90+"))))</f>
        <v/>
      </c>
    </row>
    <row r="1434">
      <c r="A1434" t="inlineStr">
        <is>
          <t>0009028649</t>
        </is>
      </c>
      <c r="B1434" t="inlineStr">
        <is>
          <t>0000100035</t>
        </is>
      </c>
      <c r="C1434" s="3" t="n">
        <v>45990</v>
      </c>
      <c r="D1434" s="3" t="n">
        <v>46020</v>
      </c>
      <c r="E1434" s="4" t="n">
        <v>934.04</v>
      </c>
      <c r="F1434">
        <f>Summary!$B$3-D1434</f>
        <v/>
      </c>
      <c r="G1434">
        <f>IF(D1434&gt;Summary!$B$3,"Current",IF(F1434&lt;=30,"0-30",IF(F1434&lt;=60,"31-60",IF(F1434&lt;=90,"61-90","90+"))))</f>
        <v/>
      </c>
    </row>
    <row r="1435">
      <c r="A1435" t="inlineStr">
        <is>
          <t>0009028650</t>
        </is>
      </c>
      <c r="B1435" t="inlineStr">
        <is>
          <t>0000100051</t>
        </is>
      </c>
      <c r="C1435" s="3" t="n">
        <v>45989</v>
      </c>
      <c r="D1435" s="3" t="n">
        <v>46049</v>
      </c>
      <c r="E1435" s="4" t="n">
        <v>428.66</v>
      </c>
      <c r="F1435">
        <f>Summary!$B$3-D1435</f>
        <v/>
      </c>
      <c r="G1435">
        <f>IF(D1435&gt;Summary!$B$3,"Current",IF(F1435&lt;=30,"0-30",IF(F1435&lt;=60,"31-60",IF(F1435&lt;=90,"61-90","90+"))))</f>
        <v/>
      </c>
    </row>
    <row r="1436">
      <c r="A1436" t="inlineStr">
        <is>
          <t>0009028651</t>
        </is>
      </c>
      <c r="B1436" t="inlineStr">
        <is>
          <t>0000100543</t>
        </is>
      </c>
      <c r="C1436" s="3" t="n">
        <v>45994</v>
      </c>
      <c r="D1436" s="3" t="n">
        <v>46054</v>
      </c>
      <c r="E1436" s="4" t="n">
        <v>986.39</v>
      </c>
      <c r="F1436">
        <f>Summary!$B$3-D1436</f>
        <v/>
      </c>
      <c r="G1436">
        <f>IF(D1436&gt;Summary!$B$3,"Current",IF(F1436&lt;=30,"0-30",IF(F1436&lt;=60,"31-60",IF(F1436&lt;=90,"61-90","90+"))))</f>
        <v/>
      </c>
    </row>
    <row r="1437">
      <c r="A1437" t="inlineStr">
        <is>
          <t>0009028652</t>
        </is>
      </c>
      <c r="B1437" t="inlineStr">
        <is>
          <t>0000100206</t>
        </is>
      </c>
      <c r="C1437" s="3" t="n">
        <v>45994</v>
      </c>
      <c r="D1437" s="3" t="n">
        <v>46039</v>
      </c>
      <c r="E1437" s="4" t="n">
        <v>33.1</v>
      </c>
      <c r="F1437">
        <f>Summary!$B$3-D1437</f>
        <v/>
      </c>
      <c r="G1437">
        <f>IF(D1437&gt;Summary!$B$3,"Current",IF(F1437&lt;=30,"0-30",IF(F1437&lt;=60,"31-60",IF(F1437&lt;=90,"61-90","90+"))))</f>
        <v/>
      </c>
    </row>
    <row r="1438">
      <c r="A1438" t="inlineStr">
        <is>
          <t>0009028655</t>
        </is>
      </c>
      <c r="B1438" t="inlineStr">
        <is>
          <t>0000100106</t>
        </is>
      </c>
      <c r="C1438" s="3" t="n">
        <v>45994</v>
      </c>
      <c r="D1438" s="3" t="n">
        <v>46039</v>
      </c>
      <c r="E1438" s="4" t="n">
        <v>661.4299999999999</v>
      </c>
      <c r="F1438">
        <f>Summary!$B$3-D1438</f>
        <v/>
      </c>
      <c r="G1438">
        <f>IF(D1438&gt;Summary!$B$3,"Current",IF(F1438&lt;=30,"0-30",IF(F1438&lt;=60,"31-60",IF(F1438&lt;=90,"61-90","90+"))))</f>
        <v/>
      </c>
    </row>
    <row r="1439">
      <c r="A1439" t="inlineStr">
        <is>
          <t>0009028656</t>
        </is>
      </c>
      <c r="B1439" t="inlineStr">
        <is>
          <t>0000100228</t>
        </is>
      </c>
      <c r="C1439" s="3" t="n">
        <v>45990</v>
      </c>
      <c r="D1439" s="3" t="n">
        <v>46050</v>
      </c>
      <c r="E1439" s="4" t="n">
        <v>439.05</v>
      </c>
      <c r="F1439">
        <f>Summary!$B$3-D1439</f>
        <v/>
      </c>
      <c r="G1439">
        <f>IF(D1439&gt;Summary!$B$3,"Current",IF(F1439&lt;=30,"0-30",IF(F1439&lt;=60,"31-60",IF(F1439&lt;=90,"61-90","90+"))))</f>
        <v/>
      </c>
    </row>
    <row r="1440">
      <c r="A1440" t="inlineStr">
        <is>
          <t>0009028657</t>
        </is>
      </c>
      <c r="B1440" t="inlineStr">
        <is>
          <t>0000100069</t>
        </is>
      </c>
      <c r="C1440" s="3" t="n">
        <v>45997</v>
      </c>
      <c r="D1440" s="3" t="n">
        <v>46027</v>
      </c>
      <c r="E1440" s="4" t="n">
        <v>536.86</v>
      </c>
      <c r="F1440">
        <f>Summary!$B$3-D1440</f>
        <v/>
      </c>
      <c r="G1440">
        <f>IF(D1440&gt;Summary!$B$3,"Current",IF(F1440&lt;=30,"0-30",IF(F1440&lt;=60,"31-60",IF(F1440&lt;=90,"61-90","90+"))))</f>
        <v/>
      </c>
    </row>
    <row r="1441">
      <c r="A1441" t="inlineStr">
        <is>
          <t>0009028658</t>
        </is>
      </c>
      <c r="B1441" t="inlineStr">
        <is>
          <t>0000100001</t>
        </is>
      </c>
      <c r="C1441" s="3" t="n">
        <v>45997</v>
      </c>
      <c r="D1441" s="3" t="n">
        <v>46042</v>
      </c>
      <c r="E1441" s="4" t="n">
        <v>951.36</v>
      </c>
      <c r="F1441">
        <f>Summary!$B$3-D1441</f>
        <v/>
      </c>
      <c r="G1441">
        <f>IF(D1441&gt;Summary!$B$3,"Current",IF(F1441&lt;=30,"0-30",IF(F1441&lt;=60,"31-60",IF(F1441&lt;=90,"61-90","90+"))))</f>
        <v/>
      </c>
    </row>
    <row r="1442">
      <c r="A1442" t="inlineStr">
        <is>
          <t>0009028659</t>
        </is>
      </c>
      <c r="B1442" t="inlineStr">
        <is>
          <t>0000100490</t>
        </is>
      </c>
      <c r="C1442" s="3" t="n">
        <v>45996</v>
      </c>
      <c r="D1442" s="3" t="n">
        <v>46026</v>
      </c>
      <c r="E1442" s="4" t="n">
        <v>342.06</v>
      </c>
      <c r="F1442">
        <f>Summary!$B$3-D1442</f>
        <v/>
      </c>
      <c r="G1442">
        <f>IF(D1442&gt;Summary!$B$3,"Current",IF(F1442&lt;=30,"0-30",IF(F1442&lt;=60,"31-60",IF(F1442&lt;=90,"61-90","90+"))))</f>
        <v/>
      </c>
    </row>
    <row r="1443">
      <c r="A1443" t="inlineStr">
        <is>
          <t>0009028660</t>
        </is>
      </c>
      <c r="B1443" t="inlineStr">
        <is>
          <t>0000100312</t>
        </is>
      </c>
      <c r="C1443" s="3" t="n">
        <v>45990</v>
      </c>
      <c r="D1443" s="3" t="n">
        <v>46050</v>
      </c>
      <c r="E1443" s="4" t="n">
        <v>1835.29</v>
      </c>
      <c r="F1443">
        <f>Summary!$B$3-D1443</f>
        <v/>
      </c>
      <c r="G1443">
        <f>IF(D1443&gt;Summary!$B$3,"Current",IF(F1443&lt;=30,"0-30",IF(F1443&lt;=60,"31-60",IF(F1443&lt;=90,"61-90","90+"))))</f>
        <v/>
      </c>
    </row>
    <row r="1444">
      <c r="A1444" t="inlineStr">
        <is>
          <t>0009028661</t>
        </is>
      </c>
      <c r="B1444" t="inlineStr">
        <is>
          <t>0000100095</t>
        </is>
      </c>
      <c r="C1444" s="3" t="n">
        <v>45999</v>
      </c>
      <c r="D1444" s="3" t="n">
        <v>46044</v>
      </c>
      <c r="E1444" s="4" t="n">
        <v>399.98</v>
      </c>
      <c r="F1444">
        <f>Summary!$B$3-D1444</f>
        <v/>
      </c>
      <c r="G1444">
        <f>IF(D1444&gt;Summary!$B$3,"Current",IF(F1444&lt;=30,"0-30",IF(F1444&lt;=60,"31-60",IF(F1444&lt;=90,"61-90","90+"))))</f>
        <v/>
      </c>
    </row>
    <row r="1445">
      <c r="A1445" t="inlineStr">
        <is>
          <t>0009028662</t>
        </is>
      </c>
      <c r="B1445" t="inlineStr">
        <is>
          <t>0000100228</t>
        </is>
      </c>
      <c r="C1445" s="3" t="n">
        <v>45995</v>
      </c>
      <c r="D1445" s="3" t="n">
        <v>46055</v>
      </c>
      <c r="E1445" s="4" t="n">
        <v>631.05</v>
      </c>
      <c r="F1445">
        <f>Summary!$B$3-D1445</f>
        <v/>
      </c>
      <c r="G1445">
        <f>IF(D1445&gt;Summary!$B$3,"Current",IF(F1445&lt;=30,"0-30",IF(F1445&lt;=60,"31-60",IF(F1445&lt;=90,"61-90","90+"))))</f>
        <v/>
      </c>
    </row>
    <row r="1446">
      <c r="A1446" t="inlineStr">
        <is>
          <t>0009028663</t>
        </is>
      </c>
      <c r="B1446" t="inlineStr">
        <is>
          <t>0000100311</t>
        </is>
      </c>
      <c r="C1446" s="3" t="n">
        <v>45996</v>
      </c>
      <c r="D1446" s="3" t="n">
        <v>46056</v>
      </c>
      <c r="E1446" s="4" t="n">
        <v>364.6</v>
      </c>
      <c r="F1446">
        <f>Summary!$B$3-D1446</f>
        <v/>
      </c>
      <c r="G1446">
        <f>IF(D1446&gt;Summary!$B$3,"Current",IF(F1446&lt;=30,"0-30",IF(F1446&lt;=60,"31-60",IF(F1446&lt;=90,"61-90","90+"))))</f>
        <v/>
      </c>
    </row>
    <row r="1447">
      <c r="A1447" t="inlineStr">
        <is>
          <t>0009028664</t>
        </is>
      </c>
      <c r="B1447" t="inlineStr">
        <is>
          <t>0000100134</t>
        </is>
      </c>
      <c r="C1447" s="3" t="n">
        <v>45996</v>
      </c>
      <c r="D1447" s="3" t="n">
        <v>46026</v>
      </c>
      <c r="E1447" s="4" t="n">
        <v>810</v>
      </c>
      <c r="F1447">
        <f>Summary!$B$3-D1447</f>
        <v/>
      </c>
      <c r="G1447">
        <f>IF(D1447&gt;Summary!$B$3,"Current",IF(F1447&lt;=30,"0-30",IF(F1447&lt;=60,"31-60",IF(F1447&lt;=90,"61-90","90+"))))</f>
        <v/>
      </c>
    </row>
    <row r="1448">
      <c r="A1448" t="inlineStr">
        <is>
          <t>0009028665</t>
        </is>
      </c>
      <c r="B1448" t="inlineStr">
        <is>
          <t>0000100262</t>
        </is>
      </c>
      <c r="C1448" s="3" t="n">
        <v>45990</v>
      </c>
      <c r="D1448" s="3" t="n">
        <v>46035</v>
      </c>
      <c r="E1448" s="4" t="n">
        <v>5060.74</v>
      </c>
      <c r="F1448">
        <f>Summary!$B$3-D1448</f>
        <v/>
      </c>
      <c r="G1448">
        <f>IF(D1448&gt;Summary!$B$3,"Current",IF(F1448&lt;=30,"0-30",IF(F1448&lt;=60,"31-60",IF(F1448&lt;=90,"61-90","90+"))))</f>
        <v/>
      </c>
    </row>
    <row r="1449">
      <c r="A1449" t="inlineStr">
        <is>
          <t>0009028666</t>
        </is>
      </c>
      <c r="B1449" t="inlineStr">
        <is>
          <t>0000100034</t>
        </is>
      </c>
      <c r="C1449" s="3" t="n">
        <v>45993</v>
      </c>
      <c r="D1449" s="3" t="n">
        <v>46023</v>
      </c>
      <c r="E1449" s="4" t="n">
        <v>768.24</v>
      </c>
      <c r="F1449">
        <f>Summary!$B$3-D1449</f>
        <v/>
      </c>
      <c r="G1449">
        <f>IF(D1449&gt;Summary!$B$3,"Current",IF(F1449&lt;=30,"0-30",IF(F1449&lt;=60,"31-60",IF(F1449&lt;=90,"61-90","90+"))))</f>
        <v/>
      </c>
    </row>
    <row r="1450">
      <c r="A1450" t="inlineStr">
        <is>
          <t>0009028668</t>
        </is>
      </c>
      <c r="B1450" t="inlineStr">
        <is>
          <t>0000100383</t>
        </is>
      </c>
      <c r="C1450" s="3" t="n">
        <v>45989</v>
      </c>
      <c r="D1450" s="3" t="n">
        <v>46019</v>
      </c>
      <c r="E1450" s="4" t="n">
        <v>187.26</v>
      </c>
      <c r="F1450">
        <f>Summary!$B$3-D1450</f>
        <v/>
      </c>
      <c r="G1450">
        <f>IF(D1450&gt;Summary!$B$3,"Current",IF(F1450&lt;=30,"0-30",IF(F1450&lt;=60,"31-60",IF(F1450&lt;=90,"61-90","90+"))))</f>
        <v/>
      </c>
    </row>
    <row r="1451">
      <c r="A1451" t="inlineStr">
        <is>
          <t>0009028669</t>
        </is>
      </c>
      <c r="B1451" t="inlineStr">
        <is>
          <t>0000100043</t>
        </is>
      </c>
      <c r="C1451" s="3" t="n">
        <v>45989</v>
      </c>
      <c r="D1451" s="3" t="n">
        <v>46019</v>
      </c>
      <c r="E1451" s="4" t="n">
        <v>1165.21</v>
      </c>
      <c r="F1451">
        <f>Summary!$B$3-D1451</f>
        <v/>
      </c>
      <c r="G1451">
        <f>IF(D1451&gt;Summary!$B$3,"Current",IF(F1451&lt;=30,"0-30",IF(F1451&lt;=60,"31-60",IF(F1451&lt;=90,"61-90","90+"))))</f>
        <v/>
      </c>
    </row>
    <row r="1452">
      <c r="A1452" t="inlineStr">
        <is>
          <t>0009028670</t>
        </is>
      </c>
      <c r="B1452" t="inlineStr">
        <is>
          <t>0000100420</t>
        </is>
      </c>
      <c r="C1452" s="3" t="n">
        <v>45988</v>
      </c>
      <c r="D1452" s="3" t="n">
        <v>46048</v>
      </c>
      <c r="E1452" s="4" t="n">
        <v>614.6</v>
      </c>
      <c r="F1452">
        <f>Summary!$B$3-D1452</f>
        <v/>
      </c>
      <c r="G1452">
        <f>IF(D1452&gt;Summary!$B$3,"Current",IF(F1452&lt;=30,"0-30",IF(F1452&lt;=60,"31-60",IF(F1452&lt;=90,"61-90","90+"))))</f>
        <v/>
      </c>
    </row>
    <row r="1453">
      <c r="A1453" t="inlineStr">
        <is>
          <t>0009028671</t>
        </is>
      </c>
      <c r="B1453" t="inlineStr">
        <is>
          <t>0000100049</t>
        </is>
      </c>
      <c r="C1453" s="3" t="n">
        <v>45990</v>
      </c>
      <c r="D1453" s="3" t="n">
        <v>46020</v>
      </c>
      <c r="E1453" s="4" t="n">
        <v>2813.24</v>
      </c>
      <c r="F1453">
        <f>Summary!$B$3-D1453</f>
        <v/>
      </c>
      <c r="G1453">
        <f>IF(D1453&gt;Summary!$B$3,"Current",IF(F1453&lt;=30,"0-30",IF(F1453&lt;=60,"31-60",IF(F1453&lt;=90,"61-90","90+"))))</f>
        <v/>
      </c>
    </row>
    <row r="1454">
      <c r="A1454" t="inlineStr">
        <is>
          <t>0009028672</t>
        </is>
      </c>
      <c r="B1454" t="inlineStr">
        <is>
          <t>0000100053</t>
        </is>
      </c>
      <c r="C1454" s="3" t="n">
        <v>45991</v>
      </c>
      <c r="D1454" s="3" t="n">
        <v>46021</v>
      </c>
      <c r="E1454" s="4" t="n">
        <v>557.26</v>
      </c>
      <c r="F1454">
        <f>Summary!$B$3-D1454</f>
        <v/>
      </c>
      <c r="G1454">
        <f>IF(D1454&gt;Summary!$B$3,"Current",IF(F1454&lt;=30,"0-30",IF(F1454&lt;=60,"31-60",IF(F1454&lt;=90,"61-90","90+"))))</f>
        <v/>
      </c>
    </row>
    <row r="1455">
      <c r="A1455" t="inlineStr">
        <is>
          <t>0009028673</t>
        </is>
      </c>
      <c r="B1455" t="inlineStr">
        <is>
          <t>0000100118</t>
        </is>
      </c>
      <c r="C1455" s="3" t="n">
        <v>45994</v>
      </c>
      <c r="D1455" s="3" t="n">
        <v>46039</v>
      </c>
      <c r="E1455" s="4" t="n">
        <v>418.9</v>
      </c>
      <c r="F1455">
        <f>Summary!$B$3-D1455</f>
        <v/>
      </c>
      <c r="G1455">
        <f>IF(D1455&gt;Summary!$B$3,"Current",IF(F1455&lt;=30,"0-30",IF(F1455&lt;=60,"31-60",IF(F1455&lt;=90,"61-90","90+"))))</f>
        <v/>
      </c>
    </row>
    <row r="1456">
      <c r="A1456" t="inlineStr">
        <is>
          <t>0009028674</t>
        </is>
      </c>
      <c r="B1456" t="inlineStr">
        <is>
          <t>0000100412</t>
        </is>
      </c>
      <c r="C1456" s="3" t="n">
        <v>45989</v>
      </c>
      <c r="D1456" s="3" t="n">
        <v>46019</v>
      </c>
      <c r="E1456" s="4" t="n">
        <v>278.54</v>
      </c>
      <c r="F1456">
        <f>Summary!$B$3-D1456</f>
        <v/>
      </c>
      <c r="G1456">
        <f>IF(D1456&gt;Summary!$B$3,"Current",IF(F1456&lt;=30,"0-30",IF(F1456&lt;=60,"31-60",IF(F1456&lt;=90,"61-90","90+"))))</f>
        <v/>
      </c>
    </row>
    <row r="1457">
      <c r="A1457" t="inlineStr">
        <is>
          <t>0009028675</t>
        </is>
      </c>
      <c r="B1457" t="inlineStr">
        <is>
          <t>0000100106</t>
        </is>
      </c>
      <c r="C1457" s="3" t="n">
        <v>45999</v>
      </c>
      <c r="D1457" s="3" t="n">
        <v>46044</v>
      </c>
      <c r="E1457" s="4" t="n">
        <v>586.98</v>
      </c>
      <c r="F1457">
        <f>Summary!$B$3-D1457</f>
        <v/>
      </c>
      <c r="G1457">
        <f>IF(D1457&gt;Summary!$B$3,"Current",IF(F1457&lt;=30,"0-30",IF(F1457&lt;=60,"31-60",IF(F1457&lt;=90,"61-90","90+"))))</f>
        <v/>
      </c>
    </row>
    <row r="1458">
      <c r="A1458" t="inlineStr">
        <is>
          <t>0009028676</t>
        </is>
      </c>
      <c r="B1458" t="inlineStr">
        <is>
          <t>0000100115</t>
        </is>
      </c>
      <c r="C1458" s="3" t="n">
        <v>45997</v>
      </c>
      <c r="D1458" s="3" t="n">
        <v>46027</v>
      </c>
      <c r="E1458" s="4" t="n">
        <v>1112.54</v>
      </c>
      <c r="F1458">
        <f>Summary!$B$3-D1458</f>
        <v/>
      </c>
      <c r="G1458">
        <f>IF(D1458&gt;Summary!$B$3,"Current",IF(F1458&lt;=30,"0-30",IF(F1458&lt;=60,"31-60",IF(F1458&lt;=90,"61-90","90+"))))</f>
        <v/>
      </c>
    </row>
    <row r="1459">
      <c r="A1459" t="inlineStr">
        <is>
          <t>0009028677</t>
        </is>
      </c>
      <c r="B1459" t="inlineStr">
        <is>
          <t>0000100360</t>
        </is>
      </c>
      <c r="C1459" s="3" t="n">
        <v>45995</v>
      </c>
      <c r="D1459" s="3" t="n">
        <v>46040</v>
      </c>
      <c r="E1459" s="4" t="n">
        <v>1697.44</v>
      </c>
      <c r="F1459">
        <f>Summary!$B$3-D1459</f>
        <v/>
      </c>
      <c r="G1459">
        <f>IF(D1459&gt;Summary!$B$3,"Current",IF(F1459&lt;=30,"0-30",IF(F1459&lt;=60,"31-60",IF(F1459&lt;=90,"61-90","90+"))))</f>
        <v/>
      </c>
    </row>
    <row r="1460">
      <c r="A1460" t="inlineStr">
        <is>
          <t>0009028678</t>
        </is>
      </c>
      <c r="B1460" t="inlineStr">
        <is>
          <t>0000100588</t>
        </is>
      </c>
      <c r="C1460" s="3" t="n">
        <v>45990</v>
      </c>
      <c r="D1460" s="3" t="n">
        <v>46020</v>
      </c>
      <c r="E1460" s="4" t="n">
        <v>1606.86</v>
      </c>
      <c r="F1460">
        <f>Summary!$B$3-D1460</f>
        <v/>
      </c>
      <c r="G1460">
        <f>IF(D1460&gt;Summary!$B$3,"Current",IF(F1460&lt;=30,"0-30",IF(F1460&lt;=60,"31-60",IF(F1460&lt;=90,"61-90","90+"))))</f>
        <v/>
      </c>
    </row>
    <row r="1461">
      <c r="A1461" t="inlineStr">
        <is>
          <t>0009028679</t>
        </is>
      </c>
      <c r="B1461" t="inlineStr">
        <is>
          <t>0000100304</t>
        </is>
      </c>
      <c r="C1461" s="3" t="n">
        <v>45998</v>
      </c>
      <c r="D1461" s="3" t="n">
        <v>46058</v>
      </c>
      <c r="E1461" s="4" t="n">
        <v>757.35</v>
      </c>
      <c r="F1461">
        <f>Summary!$B$3-D1461</f>
        <v/>
      </c>
      <c r="G1461">
        <f>IF(D1461&gt;Summary!$B$3,"Current",IF(F1461&lt;=30,"0-30",IF(F1461&lt;=60,"31-60",IF(F1461&lt;=90,"61-90","90+"))))</f>
        <v/>
      </c>
    </row>
    <row r="1462">
      <c r="A1462" t="inlineStr">
        <is>
          <t>0009028682</t>
        </is>
      </c>
      <c r="B1462" t="inlineStr">
        <is>
          <t>0000100269</t>
        </is>
      </c>
      <c r="C1462" s="3" t="n">
        <v>46004</v>
      </c>
      <c r="D1462" s="3" t="n">
        <v>46034</v>
      </c>
      <c r="E1462" s="4" t="n">
        <v>1979.67</v>
      </c>
      <c r="F1462">
        <f>Summary!$B$3-D1462</f>
        <v/>
      </c>
      <c r="G1462">
        <f>IF(D1462&gt;Summary!$B$3,"Current",IF(F1462&lt;=30,"0-30",IF(F1462&lt;=60,"31-60",IF(F1462&lt;=90,"61-90","90+"))))</f>
        <v/>
      </c>
    </row>
    <row r="1463">
      <c r="A1463" t="inlineStr">
        <is>
          <t>0009028683</t>
        </is>
      </c>
      <c r="B1463" t="inlineStr">
        <is>
          <t>0000100338</t>
        </is>
      </c>
      <c r="C1463" s="3" t="n">
        <v>45989</v>
      </c>
      <c r="D1463" s="3" t="n">
        <v>46049</v>
      </c>
      <c r="E1463" s="4" t="n">
        <v>1561.74</v>
      </c>
      <c r="F1463">
        <f>Summary!$B$3-D1463</f>
        <v/>
      </c>
      <c r="G1463">
        <f>IF(D1463&gt;Summary!$B$3,"Current",IF(F1463&lt;=30,"0-30",IF(F1463&lt;=60,"31-60",IF(F1463&lt;=90,"61-90","90+"))))</f>
        <v/>
      </c>
    </row>
    <row r="1464">
      <c r="A1464" t="inlineStr">
        <is>
          <t>0009028684</t>
        </is>
      </c>
      <c r="B1464" t="inlineStr">
        <is>
          <t>0000100423</t>
        </is>
      </c>
      <c r="C1464" s="3" t="n">
        <v>45992</v>
      </c>
      <c r="D1464" s="3" t="n">
        <v>46037</v>
      </c>
      <c r="E1464" s="4" t="n">
        <v>1303.64</v>
      </c>
      <c r="F1464">
        <f>Summary!$B$3-D1464</f>
        <v/>
      </c>
      <c r="G1464">
        <f>IF(D1464&gt;Summary!$B$3,"Current",IF(F1464&lt;=30,"0-30",IF(F1464&lt;=60,"31-60",IF(F1464&lt;=90,"61-90","90+"))))</f>
        <v/>
      </c>
    </row>
    <row r="1465">
      <c r="A1465" t="inlineStr">
        <is>
          <t>0009028685</t>
        </is>
      </c>
      <c r="B1465" t="inlineStr">
        <is>
          <t>0000100516</t>
        </is>
      </c>
      <c r="C1465" s="3" t="n">
        <v>45989</v>
      </c>
      <c r="D1465" s="3" t="n">
        <v>46019</v>
      </c>
      <c r="E1465" s="4" t="n">
        <v>1372.46</v>
      </c>
      <c r="F1465">
        <f>Summary!$B$3-D1465</f>
        <v/>
      </c>
      <c r="G1465">
        <f>IF(D1465&gt;Summary!$B$3,"Current",IF(F1465&lt;=30,"0-30",IF(F1465&lt;=60,"31-60",IF(F1465&lt;=90,"61-90","90+"))))</f>
        <v/>
      </c>
    </row>
    <row r="1466">
      <c r="A1466" t="inlineStr">
        <is>
          <t>0009028686</t>
        </is>
      </c>
      <c r="B1466" t="inlineStr">
        <is>
          <t>0000100111</t>
        </is>
      </c>
      <c r="C1466" s="3" t="n">
        <v>45997</v>
      </c>
      <c r="D1466" s="3" t="n">
        <v>46042</v>
      </c>
      <c r="E1466" s="4" t="n">
        <v>441.26</v>
      </c>
      <c r="F1466">
        <f>Summary!$B$3-D1466</f>
        <v/>
      </c>
      <c r="G1466">
        <f>IF(D1466&gt;Summary!$B$3,"Current",IF(F1466&lt;=30,"0-30",IF(F1466&lt;=60,"31-60",IF(F1466&lt;=90,"61-90","90+"))))</f>
        <v/>
      </c>
    </row>
    <row r="1467">
      <c r="A1467" t="inlineStr">
        <is>
          <t>0009028687</t>
        </is>
      </c>
      <c r="B1467" t="inlineStr">
        <is>
          <t>0000100185</t>
        </is>
      </c>
      <c r="C1467" s="3" t="n">
        <v>45988</v>
      </c>
      <c r="D1467" s="3" t="n">
        <v>46018</v>
      </c>
      <c r="E1467" s="4" t="n">
        <v>1396.98</v>
      </c>
      <c r="F1467">
        <f>Summary!$B$3-D1467</f>
        <v/>
      </c>
      <c r="G1467">
        <f>IF(D1467&gt;Summary!$B$3,"Current",IF(F1467&lt;=30,"0-30",IF(F1467&lt;=60,"31-60",IF(F1467&lt;=90,"61-90","90+"))))</f>
        <v/>
      </c>
    </row>
    <row r="1468">
      <c r="A1468" t="inlineStr">
        <is>
          <t>0009028688</t>
        </is>
      </c>
      <c r="B1468" t="inlineStr">
        <is>
          <t>0000100512</t>
        </is>
      </c>
      <c r="C1468" s="3" t="n">
        <v>45997</v>
      </c>
      <c r="D1468" s="3" t="n">
        <v>46042</v>
      </c>
      <c r="E1468" s="4" t="n">
        <v>881.65</v>
      </c>
      <c r="F1468">
        <f>Summary!$B$3-D1468</f>
        <v/>
      </c>
      <c r="G1468">
        <f>IF(D1468&gt;Summary!$B$3,"Current",IF(F1468&lt;=30,"0-30",IF(F1468&lt;=60,"31-60",IF(F1468&lt;=90,"61-90","90+"))))</f>
        <v/>
      </c>
    </row>
    <row r="1469">
      <c r="A1469" t="inlineStr">
        <is>
          <t>0009028689</t>
        </is>
      </c>
      <c r="B1469" t="inlineStr">
        <is>
          <t>0000100379</t>
        </is>
      </c>
      <c r="C1469" s="3" t="n">
        <v>45990</v>
      </c>
      <c r="D1469" s="3" t="n">
        <v>46020</v>
      </c>
      <c r="E1469" s="4" t="n">
        <v>900.74</v>
      </c>
      <c r="F1469">
        <f>Summary!$B$3-D1469</f>
        <v/>
      </c>
      <c r="G1469">
        <f>IF(D1469&gt;Summary!$B$3,"Current",IF(F1469&lt;=30,"0-30",IF(F1469&lt;=60,"31-60",IF(F1469&lt;=90,"61-90","90+"))))</f>
        <v/>
      </c>
    </row>
    <row r="1470">
      <c r="A1470" t="inlineStr">
        <is>
          <t>0009028690</t>
        </is>
      </c>
      <c r="B1470" t="inlineStr">
        <is>
          <t>0000100201</t>
        </is>
      </c>
      <c r="C1470" s="3" t="n">
        <v>45992</v>
      </c>
      <c r="D1470" s="3" t="n">
        <v>46022</v>
      </c>
      <c r="E1470" s="4" t="n">
        <v>505.34</v>
      </c>
      <c r="F1470">
        <f>Summary!$B$3-D1470</f>
        <v/>
      </c>
      <c r="G1470">
        <f>IF(D1470&gt;Summary!$B$3,"Current",IF(F1470&lt;=30,"0-30",IF(F1470&lt;=60,"31-60",IF(F1470&lt;=90,"61-90","90+"))))</f>
        <v/>
      </c>
    </row>
    <row r="1471">
      <c r="A1471" t="inlineStr">
        <is>
          <t>0009028691</t>
        </is>
      </c>
      <c r="B1471" t="inlineStr">
        <is>
          <t>0000100409</t>
        </is>
      </c>
      <c r="C1471" s="3" t="n">
        <v>45997</v>
      </c>
      <c r="D1471" s="3" t="n">
        <v>46027</v>
      </c>
      <c r="E1471" s="4" t="n">
        <v>827.0599999999999</v>
      </c>
      <c r="F1471">
        <f>Summary!$B$3-D1471</f>
        <v/>
      </c>
      <c r="G1471">
        <f>IF(D1471&gt;Summary!$B$3,"Current",IF(F1471&lt;=30,"0-30",IF(F1471&lt;=60,"31-60",IF(F1471&lt;=90,"61-90","90+"))))</f>
        <v/>
      </c>
    </row>
    <row r="1472">
      <c r="A1472" t="inlineStr">
        <is>
          <t>0009028692</t>
        </is>
      </c>
      <c r="B1472" t="inlineStr">
        <is>
          <t>0000100539</t>
        </is>
      </c>
      <c r="C1472" s="3" t="n">
        <v>45994</v>
      </c>
      <c r="D1472" s="3" t="n">
        <v>46039</v>
      </c>
      <c r="E1472" s="4" t="n">
        <v>293.52</v>
      </c>
      <c r="F1472">
        <f>Summary!$B$3-D1472</f>
        <v/>
      </c>
      <c r="G1472">
        <f>IF(D1472&gt;Summary!$B$3,"Current",IF(F1472&lt;=30,"0-30",IF(F1472&lt;=60,"31-60",IF(F1472&lt;=90,"61-90","90+"))))</f>
        <v/>
      </c>
    </row>
    <row r="1473">
      <c r="A1473" t="inlineStr">
        <is>
          <t>0009028693</t>
        </is>
      </c>
      <c r="B1473" t="inlineStr">
        <is>
          <t>0000100222</t>
        </is>
      </c>
      <c r="C1473" s="3" t="n">
        <v>45995</v>
      </c>
      <c r="D1473" s="3" t="n">
        <v>46025</v>
      </c>
      <c r="E1473" s="4" t="n">
        <v>819.2</v>
      </c>
      <c r="F1473">
        <f>Summary!$B$3-D1473</f>
        <v/>
      </c>
      <c r="G1473">
        <f>IF(D1473&gt;Summary!$B$3,"Current",IF(F1473&lt;=30,"0-30",IF(F1473&lt;=60,"31-60",IF(F1473&lt;=90,"61-90","90+"))))</f>
        <v/>
      </c>
    </row>
    <row r="1474">
      <c r="A1474" t="inlineStr">
        <is>
          <t>0009028694</t>
        </is>
      </c>
      <c r="B1474" t="inlineStr">
        <is>
          <t>0000100564</t>
        </is>
      </c>
      <c r="C1474" s="3" t="n">
        <v>45992</v>
      </c>
      <c r="D1474" s="3" t="n">
        <v>46022</v>
      </c>
      <c r="E1474" s="4" t="n">
        <v>973.21</v>
      </c>
      <c r="F1474">
        <f>Summary!$B$3-D1474</f>
        <v/>
      </c>
      <c r="G1474">
        <f>IF(D1474&gt;Summary!$B$3,"Current",IF(F1474&lt;=30,"0-30",IF(F1474&lt;=60,"31-60",IF(F1474&lt;=90,"61-90","90+"))))</f>
        <v/>
      </c>
    </row>
    <row r="1475">
      <c r="A1475" t="inlineStr">
        <is>
          <t>0009028695</t>
        </is>
      </c>
      <c r="B1475" t="inlineStr">
        <is>
          <t>0000100453</t>
        </is>
      </c>
      <c r="C1475" s="3" t="n">
        <v>45996</v>
      </c>
      <c r="D1475" s="3" t="n">
        <v>46026</v>
      </c>
      <c r="E1475" s="4" t="n">
        <v>846.4400000000001</v>
      </c>
      <c r="F1475">
        <f>Summary!$B$3-D1475</f>
        <v/>
      </c>
      <c r="G1475">
        <f>IF(D1475&gt;Summary!$B$3,"Current",IF(F1475&lt;=30,"0-30",IF(F1475&lt;=60,"31-60",IF(F1475&lt;=90,"61-90","90+"))))</f>
        <v/>
      </c>
    </row>
    <row r="1476">
      <c r="A1476" t="inlineStr">
        <is>
          <t>0009028696</t>
        </is>
      </c>
      <c r="B1476" t="inlineStr">
        <is>
          <t>0000100167</t>
        </is>
      </c>
      <c r="C1476" s="3" t="n">
        <v>45993</v>
      </c>
      <c r="D1476" s="3" t="n">
        <v>46023</v>
      </c>
      <c r="E1476" s="4" t="n">
        <v>670.37</v>
      </c>
      <c r="F1476">
        <f>Summary!$B$3-D1476</f>
        <v/>
      </c>
      <c r="G1476">
        <f>IF(D1476&gt;Summary!$B$3,"Current",IF(F1476&lt;=30,"0-30",IF(F1476&lt;=60,"31-60",IF(F1476&lt;=90,"61-90","90+"))))</f>
        <v/>
      </c>
    </row>
    <row r="1477">
      <c r="A1477" t="inlineStr">
        <is>
          <t>0009028697</t>
        </is>
      </c>
      <c r="B1477" t="inlineStr">
        <is>
          <t>0000100096</t>
        </is>
      </c>
      <c r="C1477" s="3" t="n">
        <v>45988</v>
      </c>
      <c r="D1477" s="3" t="n">
        <v>46033</v>
      </c>
      <c r="E1477" s="4" t="n">
        <v>623.64</v>
      </c>
      <c r="F1477">
        <f>Summary!$B$3-D1477</f>
        <v/>
      </c>
      <c r="G1477">
        <f>IF(D1477&gt;Summary!$B$3,"Current",IF(F1477&lt;=30,"0-30",IF(F1477&lt;=60,"31-60",IF(F1477&lt;=90,"61-90","90+"))))</f>
        <v/>
      </c>
    </row>
    <row r="1478">
      <c r="A1478" t="inlineStr">
        <is>
          <t>0009028698</t>
        </is>
      </c>
      <c r="B1478" t="inlineStr">
        <is>
          <t>0000100115</t>
        </is>
      </c>
      <c r="C1478" s="3" t="n">
        <v>45993</v>
      </c>
      <c r="D1478" s="3" t="n">
        <v>46023</v>
      </c>
      <c r="E1478" s="4" t="n">
        <v>52.8</v>
      </c>
      <c r="F1478">
        <f>Summary!$B$3-D1478</f>
        <v/>
      </c>
      <c r="G1478">
        <f>IF(D1478&gt;Summary!$B$3,"Current",IF(F1478&lt;=30,"0-30",IF(F1478&lt;=60,"31-60",IF(F1478&lt;=90,"61-90","90+"))))</f>
        <v/>
      </c>
    </row>
    <row r="1479">
      <c r="A1479" t="inlineStr">
        <is>
          <t>0009028700</t>
        </is>
      </c>
      <c r="B1479" t="inlineStr">
        <is>
          <t>0000100465</t>
        </is>
      </c>
      <c r="C1479" s="3" t="n">
        <v>45995</v>
      </c>
      <c r="D1479" s="3" t="n">
        <v>46055</v>
      </c>
      <c r="E1479" s="4" t="n">
        <v>132.37</v>
      </c>
      <c r="F1479">
        <f>Summary!$B$3-D1479</f>
        <v/>
      </c>
      <c r="G1479">
        <f>IF(D1479&gt;Summary!$B$3,"Current",IF(F1479&lt;=30,"0-30",IF(F1479&lt;=60,"31-60",IF(F1479&lt;=90,"61-90","90+"))))</f>
        <v/>
      </c>
    </row>
    <row r="1480">
      <c r="A1480" t="inlineStr">
        <is>
          <t>0009028701</t>
        </is>
      </c>
      <c r="B1480" t="inlineStr">
        <is>
          <t>0000100587</t>
        </is>
      </c>
      <c r="C1480" s="3" t="n">
        <v>45996</v>
      </c>
      <c r="D1480" s="3" t="n">
        <v>46056</v>
      </c>
      <c r="E1480" s="4" t="n">
        <v>1486.61</v>
      </c>
      <c r="F1480">
        <f>Summary!$B$3-D1480</f>
        <v/>
      </c>
      <c r="G1480">
        <f>IF(D1480&gt;Summary!$B$3,"Current",IF(F1480&lt;=30,"0-30",IF(F1480&lt;=60,"31-60",IF(F1480&lt;=90,"61-90","90+"))))</f>
        <v/>
      </c>
    </row>
    <row r="1481">
      <c r="A1481" t="inlineStr">
        <is>
          <t>0009028702</t>
        </is>
      </c>
      <c r="B1481" t="inlineStr">
        <is>
          <t>0000100598</t>
        </is>
      </c>
      <c r="C1481" s="3" t="n">
        <v>45996</v>
      </c>
      <c r="D1481" s="3" t="n">
        <v>46026</v>
      </c>
      <c r="E1481" s="4" t="n">
        <v>2477.74</v>
      </c>
      <c r="F1481">
        <f>Summary!$B$3-D1481</f>
        <v/>
      </c>
      <c r="G1481">
        <f>IF(D1481&gt;Summary!$B$3,"Current",IF(F1481&lt;=30,"0-30",IF(F1481&lt;=60,"31-60",IF(F1481&lt;=90,"61-90","90+"))))</f>
        <v/>
      </c>
    </row>
    <row r="1482">
      <c r="A1482" t="inlineStr">
        <is>
          <t>0009028704</t>
        </is>
      </c>
      <c r="B1482" t="inlineStr">
        <is>
          <t>0000100447</t>
        </is>
      </c>
      <c r="C1482" s="3" t="n">
        <v>45992</v>
      </c>
      <c r="D1482" s="3" t="n">
        <v>46037</v>
      </c>
      <c r="E1482" s="4" t="n">
        <v>4403.26</v>
      </c>
      <c r="F1482">
        <f>Summary!$B$3-D1482</f>
        <v/>
      </c>
      <c r="G1482">
        <f>IF(D1482&gt;Summary!$B$3,"Current",IF(F1482&lt;=30,"0-30",IF(F1482&lt;=60,"31-60",IF(F1482&lt;=90,"61-90","90+"))))</f>
        <v/>
      </c>
    </row>
    <row r="1483">
      <c r="A1483" t="inlineStr">
        <is>
          <t>0009028705</t>
        </is>
      </c>
      <c r="B1483" t="inlineStr">
        <is>
          <t>0000100103</t>
        </is>
      </c>
      <c r="C1483" s="3" t="n">
        <v>45999</v>
      </c>
      <c r="D1483" s="3" t="n">
        <v>46059</v>
      </c>
      <c r="E1483" s="4" t="n">
        <v>614.64</v>
      </c>
      <c r="F1483">
        <f>Summary!$B$3-D1483</f>
        <v/>
      </c>
      <c r="G1483">
        <f>IF(D1483&gt;Summary!$B$3,"Current",IF(F1483&lt;=30,"0-30",IF(F1483&lt;=60,"31-60",IF(F1483&lt;=90,"61-90","90+"))))</f>
        <v/>
      </c>
    </row>
    <row r="1484">
      <c r="A1484" t="inlineStr">
        <is>
          <t>0009028706</t>
        </is>
      </c>
      <c r="B1484" t="inlineStr">
        <is>
          <t>0000100012</t>
        </is>
      </c>
      <c r="C1484" s="3" t="n">
        <v>45993</v>
      </c>
      <c r="D1484" s="3" t="n">
        <v>46053</v>
      </c>
      <c r="E1484" s="4" t="n">
        <v>716.11</v>
      </c>
      <c r="F1484">
        <f>Summary!$B$3-D1484</f>
        <v/>
      </c>
      <c r="G1484">
        <f>IF(D1484&gt;Summary!$B$3,"Current",IF(F1484&lt;=30,"0-30",IF(F1484&lt;=60,"31-60",IF(F1484&lt;=90,"61-90","90+"))))</f>
        <v/>
      </c>
    </row>
    <row r="1485">
      <c r="A1485" t="inlineStr">
        <is>
          <t>0009028707</t>
        </is>
      </c>
      <c r="B1485" t="inlineStr">
        <is>
          <t>0000100007</t>
        </is>
      </c>
      <c r="C1485" s="3" t="n">
        <v>45996</v>
      </c>
      <c r="D1485" s="3" t="n">
        <v>46026</v>
      </c>
      <c r="E1485" s="4" t="n">
        <v>906.27</v>
      </c>
      <c r="F1485">
        <f>Summary!$B$3-D1485</f>
        <v/>
      </c>
      <c r="G1485">
        <f>IF(D1485&gt;Summary!$B$3,"Current",IF(F1485&lt;=30,"0-30",IF(F1485&lt;=60,"31-60",IF(F1485&lt;=90,"61-90","90+"))))</f>
        <v/>
      </c>
    </row>
    <row r="1486">
      <c r="A1486" t="inlineStr">
        <is>
          <t>0009028708</t>
        </is>
      </c>
      <c r="B1486" t="inlineStr">
        <is>
          <t>0000100456</t>
        </is>
      </c>
      <c r="C1486" s="3" t="n">
        <v>46000</v>
      </c>
      <c r="D1486" s="3" t="n">
        <v>46060</v>
      </c>
      <c r="E1486" s="4" t="n">
        <v>841.98</v>
      </c>
      <c r="F1486">
        <f>Summary!$B$3-D1486</f>
        <v/>
      </c>
      <c r="G1486">
        <f>IF(D1486&gt;Summary!$B$3,"Current",IF(F1486&lt;=30,"0-30",IF(F1486&lt;=60,"31-60",IF(F1486&lt;=90,"61-90","90+"))))</f>
        <v/>
      </c>
    </row>
    <row r="1487">
      <c r="A1487" t="inlineStr">
        <is>
          <t>0009028709</t>
        </is>
      </c>
      <c r="B1487" t="inlineStr">
        <is>
          <t>0000100348</t>
        </is>
      </c>
      <c r="C1487" s="3" t="n">
        <v>45992</v>
      </c>
      <c r="D1487" s="3" t="n">
        <v>46052</v>
      </c>
      <c r="E1487" s="4" t="n">
        <v>2029.64</v>
      </c>
      <c r="F1487">
        <f>Summary!$B$3-D1487</f>
        <v/>
      </c>
      <c r="G1487">
        <f>IF(D1487&gt;Summary!$B$3,"Current",IF(F1487&lt;=30,"0-30",IF(F1487&lt;=60,"31-60",IF(F1487&lt;=90,"61-90","90+"))))</f>
        <v/>
      </c>
    </row>
    <row r="1488">
      <c r="A1488" t="inlineStr">
        <is>
          <t>0009028710</t>
        </is>
      </c>
      <c r="B1488" t="inlineStr">
        <is>
          <t>0000100372</t>
        </is>
      </c>
      <c r="C1488" s="3" t="n">
        <v>45995</v>
      </c>
      <c r="D1488" s="3" t="n">
        <v>46025</v>
      </c>
      <c r="E1488" s="4" t="n">
        <v>600.6</v>
      </c>
      <c r="F1488">
        <f>Summary!$B$3-D1488</f>
        <v/>
      </c>
      <c r="G1488">
        <f>IF(D1488&gt;Summary!$B$3,"Current",IF(F1488&lt;=30,"0-30",IF(F1488&lt;=60,"31-60",IF(F1488&lt;=90,"61-90","90+"))))</f>
        <v/>
      </c>
    </row>
    <row r="1489">
      <c r="A1489" t="inlineStr">
        <is>
          <t>0009028711</t>
        </is>
      </c>
      <c r="B1489" t="inlineStr">
        <is>
          <t>0000100096</t>
        </is>
      </c>
      <c r="C1489" s="3" t="n">
        <v>45992</v>
      </c>
      <c r="D1489" s="3" t="n">
        <v>46037</v>
      </c>
      <c r="E1489" s="4" t="n">
        <v>534.17</v>
      </c>
      <c r="F1489">
        <f>Summary!$B$3-D1489</f>
        <v/>
      </c>
      <c r="G1489">
        <f>IF(D1489&gt;Summary!$B$3,"Current",IF(F1489&lt;=30,"0-30",IF(F1489&lt;=60,"31-60",IF(F1489&lt;=90,"61-90","90+"))))</f>
        <v/>
      </c>
    </row>
    <row r="1490">
      <c r="A1490" t="inlineStr">
        <is>
          <t>0009028712</t>
        </is>
      </c>
      <c r="B1490" t="inlineStr">
        <is>
          <t>0000100349</t>
        </is>
      </c>
      <c r="C1490" s="3" t="n">
        <v>45995</v>
      </c>
      <c r="D1490" s="3" t="n">
        <v>46025</v>
      </c>
      <c r="E1490" s="4" t="n">
        <v>909.37</v>
      </c>
      <c r="F1490">
        <f>Summary!$B$3-D1490</f>
        <v/>
      </c>
      <c r="G1490">
        <f>IF(D1490&gt;Summary!$B$3,"Current",IF(F1490&lt;=30,"0-30",IF(F1490&lt;=60,"31-60",IF(F1490&lt;=90,"61-90","90+"))))</f>
        <v/>
      </c>
    </row>
    <row r="1491">
      <c r="A1491" t="inlineStr">
        <is>
          <t>0009028713</t>
        </is>
      </c>
      <c r="B1491" t="inlineStr">
        <is>
          <t>0000100278</t>
        </is>
      </c>
      <c r="C1491" s="3" t="n">
        <v>45993</v>
      </c>
      <c r="D1491" s="3" t="n">
        <v>46038</v>
      </c>
      <c r="E1491" s="4" t="n">
        <v>68.23999999999999</v>
      </c>
      <c r="F1491">
        <f>Summary!$B$3-D1491</f>
        <v/>
      </c>
      <c r="G1491">
        <f>IF(D1491&gt;Summary!$B$3,"Current",IF(F1491&lt;=30,"0-30",IF(F1491&lt;=60,"31-60",IF(F1491&lt;=90,"61-90","90+"))))</f>
        <v/>
      </c>
    </row>
    <row r="1492">
      <c r="A1492" t="inlineStr">
        <is>
          <t>0009028714</t>
        </is>
      </c>
      <c r="B1492" t="inlineStr">
        <is>
          <t>0000100056</t>
        </is>
      </c>
      <c r="C1492" s="3" t="n">
        <v>45995</v>
      </c>
      <c r="D1492" s="3" t="n">
        <v>46055</v>
      </c>
      <c r="E1492" s="4" t="n">
        <v>466.96</v>
      </c>
      <c r="F1492">
        <f>Summary!$B$3-D1492</f>
        <v/>
      </c>
      <c r="G1492">
        <f>IF(D1492&gt;Summary!$B$3,"Current",IF(F1492&lt;=30,"0-30",IF(F1492&lt;=60,"31-60",IF(F1492&lt;=90,"61-90","90+"))))</f>
        <v/>
      </c>
    </row>
    <row r="1493">
      <c r="A1493" t="inlineStr">
        <is>
          <t>0009028715</t>
        </is>
      </c>
      <c r="B1493" t="inlineStr">
        <is>
          <t>0000100304</t>
        </is>
      </c>
      <c r="C1493" s="3" t="n">
        <v>45989</v>
      </c>
      <c r="D1493" s="3" t="n">
        <v>46049</v>
      </c>
      <c r="E1493" s="4" t="n">
        <v>847.33</v>
      </c>
      <c r="F1493">
        <f>Summary!$B$3-D1493</f>
        <v/>
      </c>
      <c r="G1493">
        <f>IF(D1493&gt;Summary!$B$3,"Current",IF(F1493&lt;=30,"0-30",IF(F1493&lt;=60,"31-60",IF(F1493&lt;=90,"61-90","90+"))))</f>
        <v/>
      </c>
    </row>
    <row r="1494">
      <c r="A1494" t="inlineStr">
        <is>
          <t>0009028716</t>
        </is>
      </c>
      <c r="B1494" t="inlineStr">
        <is>
          <t>0000100116</t>
        </is>
      </c>
      <c r="C1494" s="3" t="n">
        <v>45989</v>
      </c>
      <c r="D1494" s="3" t="n">
        <v>46034</v>
      </c>
      <c r="E1494" s="4" t="n">
        <v>337.87</v>
      </c>
      <c r="F1494">
        <f>Summary!$B$3-D1494</f>
        <v/>
      </c>
      <c r="G1494">
        <f>IF(D1494&gt;Summary!$B$3,"Current",IF(F1494&lt;=30,"0-30",IF(F1494&lt;=60,"31-60",IF(F1494&lt;=90,"61-90","90+"))))</f>
        <v/>
      </c>
    </row>
    <row r="1495">
      <c r="A1495" t="inlineStr">
        <is>
          <t>0009028717</t>
        </is>
      </c>
      <c r="B1495" t="inlineStr">
        <is>
          <t>0000100360</t>
        </is>
      </c>
      <c r="C1495" s="3" t="n">
        <v>45994</v>
      </c>
      <c r="D1495" s="3" t="n">
        <v>46039</v>
      </c>
      <c r="E1495" s="4" t="n">
        <v>714.23</v>
      </c>
      <c r="F1495">
        <f>Summary!$B$3-D1495</f>
        <v/>
      </c>
      <c r="G1495">
        <f>IF(D1495&gt;Summary!$B$3,"Current",IF(F1495&lt;=30,"0-30",IF(F1495&lt;=60,"31-60",IF(F1495&lt;=90,"61-90","90+"))))</f>
        <v/>
      </c>
    </row>
    <row r="1496">
      <c r="A1496" t="inlineStr">
        <is>
          <t>0009028718</t>
        </is>
      </c>
      <c r="B1496" t="inlineStr">
        <is>
          <t>0000100426</t>
        </is>
      </c>
      <c r="C1496" s="3" t="n">
        <v>46001</v>
      </c>
      <c r="D1496" s="3" t="n">
        <v>46061</v>
      </c>
      <c r="E1496" s="4" t="n">
        <v>5729.61</v>
      </c>
      <c r="F1496">
        <f>Summary!$B$3-D1496</f>
        <v/>
      </c>
      <c r="G1496">
        <f>IF(D1496&gt;Summary!$B$3,"Current",IF(F1496&lt;=30,"0-30",IF(F1496&lt;=60,"31-60",IF(F1496&lt;=90,"61-90","90+"))))</f>
        <v/>
      </c>
    </row>
    <row r="1497">
      <c r="A1497" t="inlineStr">
        <is>
          <t>0009028719</t>
        </is>
      </c>
      <c r="B1497" t="inlineStr">
        <is>
          <t>0000100587</t>
        </is>
      </c>
      <c r="C1497" s="3" t="n">
        <v>46003</v>
      </c>
      <c r="D1497" s="3" t="n">
        <v>46063</v>
      </c>
      <c r="E1497" s="4" t="n">
        <v>785.9</v>
      </c>
      <c r="F1497">
        <f>Summary!$B$3-D1497</f>
        <v/>
      </c>
      <c r="G1497">
        <f>IF(D1497&gt;Summary!$B$3,"Current",IF(F1497&lt;=30,"0-30",IF(F1497&lt;=60,"31-60",IF(F1497&lt;=90,"61-90","90+"))))</f>
        <v/>
      </c>
    </row>
    <row r="1498">
      <c r="A1498" t="inlineStr">
        <is>
          <t>0009028720</t>
        </is>
      </c>
      <c r="B1498" t="inlineStr">
        <is>
          <t>0000100299</t>
        </is>
      </c>
      <c r="C1498" s="3" t="n">
        <v>45996</v>
      </c>
      <c r="D1498" s="3" t="n">
        <v>46041</v>
      </c>
      <c r="E1498" s="4" t="n">
        <v>287.68</v>
      </c>
      <c r="F1498">
        <f>Summary!$B$3-D1498</f>
        <v/>
      </c>
      <c r="G1498">
        <f>IF(D1498&gt;Summary!$B$3,"Current",IF(F1498&lt;=30,"0-30",IF(F1498&lt;=60,"31-60",IF(F1498&lt;=90,"61-90","90+"))))</f>
        <v/>
      </c>
    </row>
    <row r="1499">
      <c r="A1499" t="inlineStr">
        <is>
          <t>0009028721</t>
        </is>
      </c>
      <c r="B1499" t="inlineStr">
        <is>
          <t>0000100546</t>
        </is>
      </c>
      <c r="C1499" s="3" t="n">
        <v>45996</v>
      </c>
      <c r="D1499" s="3" t="n">
        <v>46041</v>
      </c>
      <c r="E1499" s="4" t="n">
        <v>32.22</v>
      </c>
      <c r="F1499">
        <f>Summary!$B$3-D1499</f>
        <v/>
      </c>
      <c r="G1499">
        <f>IF(D1499&gt;Summary!$B$3,"Current",IF(F1499&lt;=30,"0-30",IF(F1499&lt;=60,"31-60",IF(F1499&lt;=90,"61-90","90+"))))</f>
        <v/>
      </c>
    </row>
    <row r="1500">
      <c r="A1500" t="inlineStr">
        <is>
          <t>0009028722</t>
        </is>
      </c>
      <c r="B1500" t="inlineStr">
        <is>
          <t>0000100512</t>
        </is>
      </c>
      <c r="C1500" s="3" t="n">
        <v>45993</v>
      </c>
      <c r="D1500" s="3" t="n">
        <v>46038</v>
      </c>
      <c r="E1500" s="4" t="n">
        <v>2703.92</v>
      </c>
      <c r="F1500">
        <f>Summary!$B$3-D1500</f>
        <v/>
      </c>
      <c r="G1500">
        <f>IF(D1500&gt;Summary!$B$3,"Current",IF(F1500&lt;=30,"0-30",IF(F1500&lt;=60,"31-60",IF(F1500&lt;=90,"61-90","90+"))))</f>
        <v/>
      </c>
    </row>
    <row r="1501">
      <c r="A1501" t="inlineStr">
        <is>
          <t>0009028724</t>
        </is>
      </c>
      <c r="B1501" t="inlineStr">
        <is>
          <t>0000100588</t>
        </is>
      </c>
      <c r="C1501" s="3" t="n">
        <v>45995</v>
      </c>
      <c r="D1501" s="3" t="n">
        <v>46025</v>
      </c>
      <c r="E1501" s="4" t="n">
        <v>327.84</v>
      </c>
      <c r="F1501">
        <f>Summary!$B$3-D1501</f>
        <v/>
      </c>
      <c r="G1501">
        <f>IF(D1501&gt;Summary!$B$3,"Current",IF(F1501&lt;=30,"0-30",IF(F1501&lt;=60,"31-60",IF(F1501&lt;=90,"61-90","90+"))))</f>
        <v/>
      </c>
    </row>
    <row r="1502">
      <c r="A1502" t="inlineStr">
        <is>
          <t>0009028725</t>
        </is>
      </c>
      <c r="B1502" t="inlineStr">
        <is>
          <t>0000100556</t>
        </is>
      </c>
      <c r="C1502" s="3" t="n">
        <v>45991</v>
      </c>
      <c r="D1502" s="3" t="n">
        <v>46021</v>
      </c>
      <c r="E1502" s="4" t="n">
        <v>21839.49</v>
      </c>
      <c r="F1502">
        <f>Summary!$B$3-D1502</f>
        <v/>
      </c>
      <c r="G1502">
        <f>IF(D1502&gt;Summary!$B$3,"Current",IF(F1502&lt;=30,"0-30",IF(F1502&lt;=60,"31-60",IF(F1502&lt;=90,"61-90","90+"))))</f>
        <v/>
      </c>
    </row>
    <row r="1503">
      <c r="A1503" t="inlineStr">
        <is>
          <t>0009028726</t>
        </is>
      </c>
      <c r="B1503" t="inlineStr">
        <is>
          <t>0000100278</t>
        </is>
      </c>
      <c r="C1503" s="3" t="n">
        <v>46000</v>
      </c>
      <c r="D1503" s="3" t="n">
        <v>46045</v>
      </c>
      <c r="E1503" s="4" t="n">
        <v>1926.55</v>
      </c>
      <c r="F1503">
        <f>Summary!$B$3-D1503</f>
        <v/>
      </c>
      <c r="G1503">
        <f>IF(D1503&gt;Summary!$B$3,"Current",IF(F1503&lt;=30,"0-30",IF(F1503&lt;=60,"31-60",IF(F1503&lt;=90,"61-90","90+"))))</f>
        <v/>
      </c>
    </row>
    <row r="1504">
      <c r="A1504" t="inlineStr">
        <is>
          <t>0009028727</t>
        </is>
      </c>
      <c r="B1504" t="inlineStr">
        <is>
          <t>0000100383</t>
        </is>
      </c>
      <c r="C1504" s="3" t="n">
        <v>45993</v>
      </c>
      <c r="D1504" s="3" t="n">
        <v>46023</v>
      </c>
      <c r="E1504" s="4" t="n">
        <v>852.48</v>
      </c>
      <c r="F1504">
        <f>Summary!$B$3-D1504</f>
        <v/>
      </c>
      <c r="G1504">
        <f>IF(D1504&gt;Summary!$B$3,"Current",IF(F1504&lt;=30,"0-30",IF(F1504&lt;=60,"31-60",IF(F1504&lt;=90,"61-90","90+"))))</f>
        <v/>
      </c>
    </row>
    <row r="1505">
      <c r="A1505" t="inlineStr">
        <is>
          <t>0009028728</t>
        </is>
      </c>
      <c r="B1505" t="inlineStr">
        <is>
          <t>0000100228</t>
        </is>
      </c>
      <c r="C1505" s="3" t="n">
        <v>45991</v>
      </c>
      <c r="D1505" s="3" t="n">
        <v>46051</v>
      </c>
      <c r="E1505" s="4" t="n">
        <v>599.0700000000001</v>
      </c>
      <c r="F1505">
        <f>Summary!$B$3-D1505</f>
        <v/>
      </c>
      <c r="G1505">
        <f>IF(D1505&gt;Summary!$B$3,"Current",IF(F1505&lt;=30,"0-30",IF(F1505&lt;=60,"31-60",IF(F1505&lt;=90,"61-90","90+"))))</f>
        <v/>
      </c>
    </row>
    <row r="1506">
      <c r="A1506" t="inlineStr">
        <is>
          <t>0009028729</t>
        </is>
      </c>
      <c r="B1506" t="inlineStr">
        <is>
          <t>0000100443</t>
        </is>
      </c>
      <c r="C1506" s="3" t="n">
        <v>45992</v>
      </c>
      <c r="D1506" s="3" t="n">
        <v>46037</v>
      </c>
      <c r="E1506" s="4" t="n">
        <v>585.46</v>
      </c>
      <c r="F1506">
        <f>Summary!$B$3-D1506</f>
        <v/>
      </c>
      <c r="G1506">
        <f>IF(D1506&gt;Summary!$B$3,"Current",IF(F1506&lt;=30,"0-30",IF(F1506&lt;=60,"31-60",IF(F1506&lt;=90,"61-90","90+"))))</f>
        <v/>
      </c>
    </row>
    <row r="1507">
      <c r="A1507" t="inlineStr">
        <is>
          <t>0009028730</t>
        </is>
      </c>
      <c r="B1507" t="inlineStr">
        <is>
          <t>0000100261</t>
        </is>
      </c>
      <c r="C1507" s="3" t="n">
        <v>45998</v>
      </c>
      <c r="D1507" s="3" t="n">
        <v>46043</v>
      </c>
      <c r="E1507" s="4" t="n">
        <v>646.21</v>
      </c>
      <c r="F1507">
        <f>Summary!$B$3-D1507</f>
        <v/>
      </c>
      <c r="G1507">
        <f>IF(D1507&gt;Summary!$B$3,"Current",IF(F1507&lt;=30,"0-30",IF(F1507&lt;=60,"31-60",IF(F1507&lt;=90,"61-90","90+"))))</f>
        <v/>
      </c>
    </row>
    <row r="1508">
      <c r="A1508" t="inlineStr">
        <is>
          <t>0009028731</t>
        </is>
      </c>
      <c r="B1508" t="inlineStr">
        <is>
          <t>0000100529</t>
        </is>
      </c>
      <c r="C1508" s="3" t="n">
        <v>45994</v>
      </c>
      <c r="D1508" s="3" t="n">
        <v>46054</v>
      </c>
      <c r="E1508" s="4" t="n">
        <v>3080.5</v>
      </c>
      <c r="F1508">
        <f>Summary!$B$3-D1508</f>
        <v/>
      </c>
      <c r="G1508">
        <f>IF(D1508&gt;Summary!$B$3,"Current",IF(F1508&lt;=30,"0-30",IF(F1508&lt;=60,"31-60",IF(F1508&lt;=90,"61-90","90+"))))</f>
        <v/>
      </c>
    </row>
    <row r="1509">
      <c r="A1509" t="inlineStr">
        <is>
          <t>0009028732</t>
        </is>
      </c>
      <c r="B1509" t="inlineStr">
        <is>
          <t>0000100499</t>
        </is>
      </c>
      <c r="C1509" s="3" t="n">
        <v>45996</v>
      </c>
      <c r="D1509" s="3" t="n">
        <v>46026</v>
      </c>
      <c r="E1509" s="4" t="n">
        <v>357.42</v>
      </c>
      <c r="F1509">
        <f>Summary!$B$3-D1509</f>
        <v/>
      </c>
      <c r="G1509">
        <f>IF(D1509&gt;Summary!$B$3,"Current",IF(F1509&lt;=30,"0-30",IF(F1509&lt;=60,"31-60",IF(F1509&lt;=90,"61-90","90+"))))</f>
        <v/>
      </c>
    </row>
    <row r="1510">
      <c r="A1510" t="inlineStr">
        <is>
          <t>0009028734</t>
        </is>
      </c>
      <c r="B1510" t="inlineStr">
        <is>
          <t>0000100455</t>
        </is>
      </c>
      <c r="C1510" s="3" t="n">
        <v>45992</v>
      </c>
      <c r="D1510" s="3" t="n">
        <v>46037</v>
      </c>
      <c r="E1510" s="4" t="n">
        <v>959.67</v>
      </c>
      <c r="F1510">
        <f>Summary!$B$3-D1510</f>
        <v/>
      </c>
      <c r="G1510">
        <f>IF(D1510&gt;Summary!$B$3,"Current",IF(F1510&lt;=30,"0-30",IF(F1510&lt;=60,"31-60",IF(F1510&lt;=90,"61-90","90+"))))</f>
        <v/>
      </c>
    </row>
    <row r="1511">
      <c r="A1511" t="inlineStr">
        <is>
          <t>0009028735</t>
        </is>
      </c>
      <c r="B1511" t="inlineStr">
        <is>
          <t>0000100192</t>
        </is>
      </c>
      <c r="C1511" s="3" t="n">
        <v>45996</v>
      </c>
      <c r="D1511" s="3" t="n">
        <v>46026</v>
      </c>
      <c r="E1511" s="4" t="n">
        <v>230.2</v>
      </c>
      <c r="F1511">
        <f>Summary!$B$3-D1511</f>
        <v/>
      </c>
      <c r="G1511">
        <f>IF(D1511&gt;Summary!$B$3,"Current",IF(F1511&lt;=30,"0-30",IF(F1511&lt;=60,"31-60",IF(F1511&lt;=90,"61-90","90+"))))</f>
        <v/>
      </c>
    </row>
    <row r="1512">
      <c r="A1512" t="inlineStr">
        <is>
          <t>0009028736</t>
        </is>
      </c>
      <c r="B1512" t="inlineStr">
        <is>
          <t>0000100512</t>
        </is>
      </c>
      <c r="C1512" s="3" t="n">
        <v>45996</v>
      </c>
      <c r="D1512" s="3" t="n">
        <v>46041</v>
      </c>
      <c r="E1512" s="4" t="n">
        <v>425.3</v>
      </c>
      <c r="F1512">
        <f>Summary!$B$3-D1512</f>
        <v/>
      </c>
      <c r="G1512">
        <f>IF(D1512&gt;Summary!$B$3,"Current",IF(F1512&lt;=30,"0-30",IF(F1512&lt;=60,"31-60",IF(F1512&lt;=90,"61-90","90+"))))</f>
        <v/>
      </c>
    </row>
    <row r="1513">
      <c r="A1513" t="inlineStr">
        <is>
          <t>0009028738</t>
        </is>
      </c>
      <c r="B1513" t="inlineStr">
        <is>
          <t>0000100125</t>
        </is>
      </c>
      <c r="C1513" s="3" t="n">
        <v>45992</v>
      </c>
      <c r="D1513" s="3" t="n">
        <v>46022</v>
      </c>
      <c r="E1513" s="4" t="n">
        <v>1221.97</v>
      </c>
      <c r="F1513">
        <f>Summary!$B$3-D1513</f>
        <v/>
      </c>
      <c r="G1513">
        <f>IF(D1513&gt;Summary!$B$3,"Current",IF(F1513&lt;=30,"0-30",IF(F1513&lt;=60,"31-60",IF(F1513&lt;=90,"61-90","90+"))))</f>
        <v/>
      </c>
    </row>
    <row r="1514">
      <c r="A1514" t="inlineStr">
        <is>
          <t>0009028739</t>
        </is>
      </c>
      <c r="B1514" t="inlineStr">
        <is>
          <t>0000100417</t>
        </is>
      </c>
      <c r="C1514" s="3" t="n">
        <v>45995</v>
      </c>
      <c r="D1514" s="3" t="n">
        <v>46055</v>
      </c>
      <c r="E1514" s="4" t="n">
        <v>848.6</v>
      </c>
      <c r="F1514">
        <f>Summary!$B$3-D1514</f>
        <v/>
      </c>
      <c r="G1514">
        <f>IF(D1514&gt;Summary!$B$3,"Current",IF(F1514&lt;=30,"0-30",IF(F1514&lt;=60,"31-60",IF(F1514&lt;=90,"61-90","90+"))))</f>
        <v/>
      </c>
    </row>
    <row r="1515">
      <c r="A1515" t="inlineStr">
        <is>
          <t>0009028740</t>
        </is>
      </c>
      <c r="B1515" t="inlineStr">
        <is>
          <t>0000100074</t>
        </is>
      </c>
      <c r="C1515" s="3" t="n">
        <v>45997</v>
      </c>
      <c r="D1515" s="3" t="n">
        <v>46042</v>
      </c>
      <c r="E1515" s="4" t="n">
        <v>518.1799999999999</v>
      </c>
      <c r="F1515">
        <f>Summary!$B$3-D1515</f>
        <v/>
      </c>
      <c r="G1515">
        <f>IF(D1515&gt;Summary!$B$3,"Current",IF(F1515&lt;=30,"0-30",IF(F1515&lt;=60,"31-60",IF(F1515&lt;=90,"61-90","90+"))))</f>
        <v/>
      </c>
    </row>
    <row r="1516">
      <c r="A1516" t="inlineStr">
        <is>
          <t>0009028741</t>
        </is>
      </c>
      <c r="B1516" t="inlineStr">
        <is>
          <t>0000100071</t>
        </is>
      </c>
      <c r="C1516" s="3" t="n">
        <v>45994</v>
      </c>
      <c r="D1516" s="3" t="n">
        <v>46039</v>
      </c>
      <c r="E1516" s="4" t="n">
        <v>451.06</v>
      </c>
      <c r="F1516">
        <f>Summary!$B$3-D1516</f>
        <v/>
      </c>
      <c r="G1516">
        <f>IF(D1516&gt;Summary!$B$3,"Current",IF(F1516&lt;=30,"0-30",IF(F1516&lt;=60,"31-60",IF(F1516&lt;=90,"61-90","90+"))))</f>
        <v/>
      </c>
    </row>
    <row r="1517">
      <c r="A1517" t="inlineStr">
        <is>
          <t>0009028742</t>
        </is>
      </c>
      <c r="B1517" t="inlineStr">
        <is>
          <t>0000100012</t>
        </is>
      </c>
      <c r="C1517" s="3" t="n">
        <v>45993</v>
      </c>
      <c r="D1517" s="3" t="n">
        <v>46053</v>
      </c>
      <c r="E1517" s="4" t="n">
        <v>3579.94</v>
      </c>
      <c r="F1517">
        <f>Summary!$B$3-D1517</f>
        <v/>
      </c>
      <c r="G1517">
        <f>IF(D1517&gt;Summary!$B$3,"Current",IF(F1517&lt;=30,"0-30",IF(F1517&lt;=60,"31-60",IF(F1517&lt;=90,"61-90","90+"))))</f>
        <v/>
      </c>
    </row>
    <row r="1518">
      <c r="A1518" t="inlineStr">
        <is>
          <t>0009028743</t>
        </is>
      </c>
      <c r="B1518" t="inlineStr">
        <is>
          <t>0000100204</t>
        </is>
      </c>
      <c r="C1518" s="3" t="n">
        <v>45997</v>
      </c>
      <c r="D1518" s="3" t="n">
        <v>46027</v>
      </c>
      <c r="E1518" s="4" t="n">
        <v>1468.37</v>
      </c>
      <c r="F1518">
        <f>Summary!$B$3-D1518</f>
        <v/>
      </c>
      <c r="G1518">
        <f>IF(D1518&gt;Summary!$B$3,"Current",IF(F1518&lt;=30,"0-30",IF(F1518&lt;=60,"31-60",IF(F1518&lt;=90,"61-90","90+"))))</f>
        <v/>
      </c>
    </row>
    <row r="1519">
      <c r="A1519" t="inlineStr">
        <is>
          <t>0009028744</t>
        </is>
      </c>
      <c r="B1519" t="inlineStr">
        <is>
          <t>0000100416</t>
        </is>
      </c>
      <c r="C1519" s="3" t="n">
        <v>45988</v>
      </c>
      <c r="D1519" s="3" t="n">
        <v>46033</v>
      </c>
      <c r="E1519" s="4" t="n">
        <v>234.77</v>
      </c>
      <c r="F1519">
        <f>Summary!$B$3-D1519</f>
        <v/>
      </c>
      <c r="G1519">
        <f>IF(D1519&gt;Summary!$B$3,"Current",IF(F1519&lt;=30,"0-30",IF(F1519&lt;=60,"31-60",IF(F1519&lt;=90,"61-90","90+"))))</f>
        <v/>
      </c>
    </row>
    <row r="1520">
      <c r="A1520" t="inlineStr">
        <is>
          <t>0009028746</t>
        </is>
      </c>
      <c r="B1520" t="inlineStr">
        <is>
          <t>0000100496</t>
        </is>
      </c>
      <c r="C1520" s="3" t="n">
        <v>45993</v>
      </c>
      <c r="D1520" s="3" t="n">
        <v>46023</v>
      </c>
      <c r="E1520" s="4" t="n">
        <v>742.83</v>
      </c>
      <c r="F1520">
        <f>Summary!$B$3-D1520</f>
        <v/>
      </c>
      <c r="G1520">
        <f>IF(D1520&gt;Summary!$B$3,"Current",IF(F1520&lt;=30,"0-30",IF(F1520&lt;=60,"31-60",IF(F1520&lt;=90,"61-90","90+"))))</f>
        <v/>
      </c>
    </row>
    <row r="1521">
      <c r="A1521" t="inlineStr">
        <is>
          <t>0009028747</t>
        </is>
      </c>
      <c r="B1521" t="inlineStr">
        <is>
          <t>0000100185</t>
        </is>
      </c>
      <c r="C1521" s="3" t="n">
        <v>46000</v>
      </c>
      <c r="D1521" s="3" t="n">
        <v>46030</v>
      </c>
      <c r="E1521" s="4" t="n">
        <v>241.29</v>
      </c>
      <c r="F1521">
        <f>Summary!$B$3-D1521</f>
        <v/>
      </c>
      <c r="G1521">
        <f>IF(D1521&gt;Summary!$B$3,"Current",IF(F1521&lt;=30,"0-30",IF(F1521&lt;=60,"31-60",IF(F1521&lt;=90,"61-90","90+"))))</f>
        <v/>
      </c>
    </row>
    <row r="1522">
      <c r="A1522" t="inlineStr">
        <is>
          <t>0009028749</t>
        </is>
      </c>
      <c r="B1522" t="inlineStr">
        <is>
          <t>0000100291</t>
        </is>
      </c>
      <c r="C1522" s="3" t="n">
        <v>45994</v>
      </c>
      <c r="D1522" s="3" t="n">
        <v>46054</v>
      </c>
      <c r="E1522" s="4" t="n">
        <v>670.42</v>
      </c>
      <c r="F1522">
        <f>Summary!$B$3-D1522</f>
        <v/>
      </c>
      <c r="G1522">
        <f>IF(D1522&gt;Summary!$B$3,"Current",IF(F1522&lt;=30,"0-30",IF(F1522&lt;=60,"31-60",IF(F1522&lt;=90,"61-90","90+"))))</f>
        <v/>
      </c>
    </row>
    <row r="1523">
      <c r="A1523" t="inlineStr">
        <is>
          <t>0009028750</t>
        </is>
      </c>
      <c r="B1523" t="inlineStr">
        <is>
          <t>0000100260</t>
        </is>
      </c>
      <c r="C1523" s="3" t="n">
        <v>45999</v>
      </c>
      <c r="D1523" s="3" t="n">
        <v>46044</v>
      </c>
      <c r="E1523" s="4" t="n">
        <v>766.42</v>
      </c>
      <c r="F1523">
        <f>Summary!$B$3-D1523</f>
        <v/>
      </c>
      <c r="G1523">
        <f>IF(D1523&gt;Summary!$B$3,"Current",IF(F1523&lt;=30,"0-30",IF(F1523&lt;=60,"31-60",IF(F1523&lt;=90,"61-90","90+"))))</f>
        <v/>
      </c>
    </row>
    <row r="1524">
      <c r="A1524" t="inlineStr">
        <is>
          <t>0009028751</t>
        </is>
      </c>
      <c r="B1524" t="inlineStr">
        <is>
          <t>0000100326</t>
        </is>
      </c>
      <c r="C1524" s="3" t="n">
        <v>45999</v>
      </c>
      <c r="D1524" s="3" t="n">
        <v>46029</v>
      </c>
      <c r="E1524" s="4" t="n">
        <v>309.16</v>
      </c>
      <c r="F1524">
        <f>Summary!$B$3-D1524</f>
        <v/>
      </c>
      <c r="G1524">
        <f>IF(D1524&gt;Summary!$B$3,"Current",IF(F1524&lt;=30,"0-30",IF(F1524&lt;=60,"31-60",IF(F1524&lt;=90,"61-90","90+"))))</f>
        <v/>
      </c>
    </row>
    <row r="1525">
      <c r="A1525" t="inlineStr">
        <is>
          <t>0009028752</t>
        </is>
      </c>
      <c r="B1525" t="inlineStr">
        <is>
          <t>0000100249</t>
        </is>
      </c>
      <c r="C1525" s="3" t="n">
        <v>45997</v>
      </c>
      <c r="D1525" s="3" t="n">
        <v>46057</v>
      </c>
      <c r="E1525" s="4" t="n">
        <v>1055.73</v>
      </c>
      <c r="F1525">
        <f>Summary!$B$3-D1525</f>
        <v/>
      </c>
      <c r="G1525">
        <f>IF(D1525&gt;Summary!$B$3,"Current",IF(F1525&lt;=30,"0-30",IF(F1525&lt;=60,"31-60",IF(F1525&lt;=90,"61-90","90+"))))</f>
        <v/>
      </c>
    </row>
    <row r="1526">
      <c r="A1526" t="inlineStr">
        <is>
          <t>0009028753</t>
        </is>
      </c>
      <c r="B1526" t="inlineStr">
        <is>
          <t>0000100007</t>
        </is>
      </c>
      <c r="C1526" s="3" t="n">
        <v>45997</v>
      </c>
      <c r="D1526" s="3" t="n">
        <v>46027</v>
      </c>
      <c r="E1526" s="4" t="n">
        <v>400.54</v>
      </c>
      <c r="F1526">
        <f>Summary!$B$3-D1526</f>
        <v/>
      </c>
      <c r="G1526">
        <f>IF(D1526&gt;Summary!$B$3,"Current",IF(F1526&lt;=30,"0-30",IF(F1526&lt;=60,"31-60",IF(F1526&lt;=90,"61-90","90+"))))</f>
        <v/>
      </c>
    </row>
    <row r="1527">
      <c r="A1527" t="inlineStr">
        <is>
          <t>0009028754</t>
        </is>
      </c>
      <c r="B1527" t="inlineStr">
        <is>
          <t>0000100416</t>
        </is>
      </c>
      <c r="C1527" s="3" t="n">
        <v>45994</v>
      </c>
      <c r="D1527" s="3" t="n">
        <v>46039</v>
      </c>
      <c r="E1527" s="4" t="n">
        <v>527.08</v>
      </c>
      <c r="F1527">
        <f>Summary!$B$3-D1527</f>
        <v/>
      </c>
      <c r="G1527">
        <f>IF(D1527&gt;Summary!$B$3,"Current",IF(F1527&lt;=30,"0-30",IF(F1527&lt;=60,"31-60",IF(F1527&lt;=90,"61-90","90+"))))</f>
        <v/>
      </c>
    </row>
    <row r="1528">
      <c r="A1528" t="inlineStr">
        <is>
          <t>0009028758</t>
        </is>
      </c>
      <c r="B1528" t="inlineStr">
        <is>
          <t>0000100453</t>
        </is>
      </c>
      <c r="C1528" s="3" t="n">
        <v>45993</v>
      </c>
      <c r="D1528" s="3" t="n">
        <v>46023</v>
      </c>
      <c r="E1528" s="4" t="n">
        <v>2190.07</v>
      </c>
      <c r="F1528">
        <f>Summary!$B$3-D1528</f>
        <v/>
      </c>
      <c r="G1528">
        <f>IF(D1528&gt;Summary!$B$3,"Current",IF(F1528&lt;=30,"0-30",IF(F1528&lt;=60,"31-60",IF(F1528&lt;=90,"61-90","90+"))))</f>
        <v/>
      </c>
    </row>
    <row r="1529">
      <c r="A1529" t="inlineStr">
        <is>
          <t>0009028759</t>
        </is>
      </c>
      <c r="B1529" t="inlineStr">
        <is>
          <t>0000100577</t>
        </is>
      </c>
      <c r="C1529" s="3" t="n">
        <v>45997</v>
      </c>
      <c r="D1529" s="3" t="n">
        <v>46027</v>
      </c>
      <c r="E1529" s="4" t="n">
        <v>1535.61</v>
      </c>
      <c r="F1529">
        <f>Summary!$B$3-D1529</f>
        <v/>
      </c>
      <c r="G1529">
        <f>IF(D1529&gt;Summary!$B$3,"Current",IF(F1529&lt;=30,"0-30",IF(F1529&lt;=60,"31-60",IF(F1529&lt;=90,"61-90","90+"))))</f>
        <v/>
      </c>
    </row>
    <row r="1530">
      <c r="A1530" t="inlineStr">
        <is>
          <t>0009028760</t>
        </is>
      </c>
      <c r="B1530" t="inlineStr">
        <is>
          <t>0000100485</t>
        </is>
      </c>
      <c r="C1530" s="3" t="n">
        <v>45998</v>
      </c>
      <c r="D1530" s="3" t="n">
        <v>46043</v>
      </c>
      <c r="E1530" s="4" t="n">
        <v>4071.25</v>
      </c>
      <c r="F1530">
        <f>Summary!$B$3-D1530</f>
        <v/>
      </c>
      <c r="G1530">
        <f>IF(D1530&gt;Summary!$B$3,"Current",IF(F1530&lt;=30,"0-30",IF(F1530&lt;=60,"31-60",IF(F1530&lt;=90,"61-90","90+"))))</f>
        <v/>
      </c>
    </row>
    <row r="1531">
      <c r="A1531" t="inlineStr">
        <is>
          <t>0009028761</t>
        </is>
      </c>
      <c r="B1531" t="inlineStr">
        <is>
          <t>0000100456</t>
        </is>
      </c>
      <c r="C1531" s="3" t="n">
        <v>45997</v>
      </c>
      <c r="D1531" s="3" t="n">
        <v>46057</v>
      </c>
      <c r="E1531" s="4" t="n">
        <v>515.46</v>
      </c>
      <c r="F1531">
        <f>Summary!$B$3-D1531</f>
        <v/>
      </c>
      <c r="G1531">
        <f>IF(D1531&gt;Summary!$B$3,"Current",IF(F1531&lt;=30,"0-30",IF(F1531&lt;=60,"31-60",IF(F1531&lt;=90,"61-90","90+"))))</f>
        <v/>
      </c>
    </row>
    <row r="1532">
      <c r="A1532" t="inlineStr">
        <is>
          <t>0009028762</t>
        </is>
      </c>
      <c r="B1532" t="inlineStr">
        <is>
          <t>0000100587</t>
        </is>
      </c>
      <c r="C1532" s="3" t="n">
        <v>45996</v>
      </c>
      <c r="D1532" s="3" t="n">
        <v>46056</v>
      </c>
      <c r="E1532" s="4" t="n">
        <v>657.78</v>
      </c>
      <c r="F1532">
        <f>Summary!$B$3-D1532</f>
        <v/>
      </c>
      <c r="G1532">
        <f>IF(D1532&gt;Summary!$B$3,"Current",IF(F1532&lt;=30,"0-30",IF(F1532&lt;=60,"31-60",IF(F1532&lt;=90,"61-90","90+"))))</f>
        <v/>
      </c>
    </row>
    <row r="1533">
      <c r="A1533" t="inlineStr">
        <is>
          <t>0009028763</t>
        </is>
      </c>
      <c r="B1533" t="inlineStr">
        <is>
          <t>0000100005</t>
        </is>
      </c>
      <c r="C1533" s="3" t="n">
        <v>46000</v>
      </c>
      <c r="D1533" s="3" t="n">
        <v>46045</v>
      </c>
      <c r="E1533" s="4" t="n">
        <v>2356.41</v>
      </c>
      <c r="F1533">
        <f>Summary!$B$3-D1533</f>
        <v/>
      </c>
      <c r="G1533">
        <f>IF(D1533&gt;Summary!$B$3,"Current",IF(F1533&lt;=30,"0-30",IF(F1533&lt;=60,"31-60",IF(F1533&lt;=90,"61-90","90+"))))</f>
        <v/>
      </c>
    </row>
    <row r="1534">
      <c r="A1534" t="inlineStr">
        <is>
          <t>0009028764</t>
        </is>
      </c>
      <c r="B1534" t="inlineStr">
        <is>
          <t>0000100379</t>
        </is>
      </c>
      <c r="C1534" s="3" t="n">
        <v>45993</v>
      </c>
      <c r="D1534" s="3" t="n">
        <v>46023</v>
      </c>
      <c r="E1534" s="4" t="n">
        <v>1042.57</v>
      </c>
      <c r="F1534">
        <f>Summary!$B$3-D1534</f>
        <v/>
      </c>
      <c r="G1534">
        <f>IF(D1534&gt;Summary!$B$3,"Current",IF(F1534&lt;=30,"0-30",IF(F1534&lt;=60,"31-60",IF(F1534&lt;=90,"61-90","90+"))))</f>
        <v/>
      </c>
    </row>
    <row r="1535">
      <c r="A1535" t="inlineStr">
        <is>
          <t>0009028765</t>
        </is>
      </c>
      <c r="B1535" t="inlineStr">
        <is>
          <t>0000100356</t>
        </is>
      </c>
      <c r="C1535" s="3" t="n">
        <v>45999</v>
      </c>
      <c r="D1535" s="3" t="n">
        <v>46044</v>
      </c>
      <c r="E1535" s="4" t="n">
        <v>1850.34</v>
      </c>
      <c r="F1535">
        <f>Summary!$B$3-D1535</f>
        <v/>
      </c>
      <c r="G1535">
        <f>IF(D1535&gt;Summary!$B$3,"Current",IF(F1535&lt;=30,"0-30",IF(F1535&lt;=60,"31-60",IF(F1535&lt;=90,"61-90","90+"))))</f>
        <v/>
      </c>
    </row>
    <row r="1536">
      <c r="A1536" t="inlineStr">
        <is>
          <t>0009028766</t>
        </is>
      </c>
      <c r="B1536" t="inlineStr">
        <is>
          <t>0000100332</t>
        </is>
      </c>
      <c r="C1536" s="3" t="n">
        <v>45990</v>
      </c>
      <c r="D1536" s="3" t="n">
        <v>46020</v>
      </c>
      <c r="E1536" s="4" t="n">
        <v>1044.85</v>
      </c>
      <c r="F1536">
        <f>Summary!$B$3-D1536</f>
        <v/>
      </c>
      <c r="G1536">
        <f>IF(D1536&gt;Summary!$B$3,"Current",IF(F1536&lt;=30,"0-30",IF(F1536&lt;=60,"31-60",IF(F1536&lt;=90,"61-90","90+"))))</f>
        <v/>
      </c>
    </row>
    <row r="1537">
      <c r="A1537" t="inlineStr">
        <is>
          <t>0009028767</t>
        </is>
      </c>
      <c r="B1537" t="inlineStr">
        <is>
          <t>0000100192</t>
        </is>
      </c>
      <c r="C1537" s="3" t="n">
        <v>45990</v>
      </c>
      <c r="D1537" s="3" t="n">
        <v>46020</v>
      </c>
      <c r="E1537" s="4" t="n">
        <v>185.46</v>
      </c>
      <c r="F1537">
        <f>Summary!$B$3-D1537</f>
        <v/>
      </c>
      <c r="G1537">
        <f>IF(D1537&gt;Summary!$B$3,"Current",IF(F1537&lt;=30,"0-30",IF(F1537&lt;=60,"31-60",IF(F1537&lt;=90,"61-90","90+"))))</f>
        <v/>
      </c>
    </row>
    <row r="1538">
      <c r="A1538" t="inlineStr">
        <is>
          <t>0009028768</t>
        </is>
      </c>
      <c r="B1538" t="inlineStr">
        <is>
          <t>0000100338</t>
        </is>
      </c>
      <c r="C1538" s="3" t="n">
        <v>46001</v>
      </c>
      <c r="D1538" s="3" t="n">
        <v>46061</v>
      </c>
      <c r="E1538" s="4" t="n">
        <v>533.17</v>
      </c>
      <c r="F1538">
        <f>Summary!$B$3-D1538</f>
        <v/>
      </c>
      <c r="G1538">
        <f>IF(D1538&gt;Summary!$B$3,"Current",IF(F1538&lt;=30,"0-30",IF(F1538&lt;=60,"31-60",IF(F1538&lt;=90,"61-90","90+"))))</f>
        <v/>
      </c>
    </row>
    <row r="1539">
      <c r="A1539" t="inlineStr">
        <is>
          <t>0009028769</t>
        </is>
      </c>
      <c r="B1539" t="inlineStr">
        <is>
          <t>0000100028</t>
        </is>
      </c>
      <c r="C1539" s="3" t="n">
        <v>45990</v>
      </c>
      <c r="D1539" s="3" t="n">
        <v>46035</v>
      </c>
      <c r="E1539" s="4" t="n">
        <v>312.84</v>
      </c>
      <c r="F1539">
        <f>Summary!$B$3-D1539</f>
        <v/>
      </c>
      <c r="G1539">
        <f>IF(D1539&gt;Summary!$B$3,"Current",IF(F1539&lt;=30,"0-30",IF(F1539&lt;=60,"31-60",IF(F1539&lt;=90,"61-90","90+"))))</f>
        <v/>
      </c>
    </row>
    <row r="1540">
      <c r="A1540" t="inlineStr">
        <is>
          <t>0009028770</t>
        </is>
      </c>
      <c r="B1540" t="inlineStr">
        <is>
          <t>0000100279</t>
        </is>
      </c>
      <c r="C1540" s="3" t="n">
        <v>45996</v>
      </c>
      <c r="D1540" s="3" t="n">
        <v>46041</v>
      </c>
      <c r="E1540" s="4" t="n">
        <v>509.1</v>
      </c>
      <c r="F1540">
        <f>Summary!$B$3-D1540</f>
        <v/>
      </c>
      <c r="G1540">
        <f>IF(D1540&gt;Summary!$B$3,"Current",IF(F1540&lt;=30,"0-30",IF(F1540&lt;=60,"31-60",IF(F1540&lt;=90,"61-90","90+"))))</f>
        <v/>
      </c>
    </row>
    <row r="1541">
      <c r="A1541" t="inlineStr">
        <is>
          <t>0009028772</t>
        </is>
      </c>
      <c r="B1541" t="inlineStr">
        <is>
          <t>0000100243</t>
        </is>
      </c>
      <c r="C1541" s="3" t="n">
        <v>45996</v>
      </c>
      <c r="D1541" s="3" t="n">
        <v>46026</v>
      </c>
      <c r="E1541" s="4" t="n">
        <v>137.34</v>
      </c>
      <c r="F1541">
        <f>Summary!$B$3-D1541</f>
        <v/>
      </c>
      <c r="G1541">
        <f>IF(D1541&gt;Summary!$B$3,"Current",IF(F1541&lt;=30,"0-30",IF(F1541&lt;=60,"31-60",IF(F1541&lt;=90,"61-90","90+"))))</f>
        <v/>
      </c>
    </row>
    <row r="1542">
      <c r="A1542" t="inlineStr">
        <is>
          <t>0009028773</t>
        </is>
      </c>
      <c r="B1542" t="inlineStr">
        <is>
          <t>0000100412</t>
        </is>
      </c>
      <c r="C1542" s="3" t="n">
        <v>45997</v>
      </c>
      <c r="D1542" s="3" t="n">
        <v>46027</v>
      </c>
      <c r="E1542" s="4" t="n">
        <v>343.11</v>
      </c>
      <c r="F1542">
        <f>Summary!$B$3-D1542</f>
        <v/>
      </c>
      <c r="G1542">
        <f>IF(D1542&gt;Summary!$B$3,"Current",IF(F1542&lt;=30,"0-30",IF(F1542&lt;=60,"31-60",IF(F1542&lt;=90,"61-90","90+"))))</f>
        <v/>
      </c>
    </row>
    <row r="1543">
      <c r="A1543" t="inlineStr">
        <is>
          <t>0009028774</t>
        </is>
      </c>
      <c r="B1543" t="inlineStr">
        <is>
          <t>0000100423</t>
        </is>
      </c>
      <c r="C1543" s="3" t="n">
        <v>45998</v>
      </c>
      <c r="D1543" s="3" t="n">
        <v>46043</v>
      </c>
      <c r="E1543" s="4" t="n">
        <v>3412.85</v>
      </c>
      <c r="F1543">
        <f>Summary!$B$3-D1543</f>
        <v/>
      </c>
      <c r="G1543">
        <f>IF(D1543&gt;Summary!$B$3,"Current",IF(F1543&lt;=30,"0-30",IF(F1543&lt;=60,"31-60",IF(F1543&lt;=90,"61-90","90+"))))</f>
        <v/>
      </c>
    </row>
    <row r="1544">
      <c r="A1544" t="inlineStr">
        <is>
          <t>0009028775</t>
        </is>
      </c>
      <c r="B1544" t="inlineStr">
        <is>
          <t>0000100521</t>
        </is>
      </c>
      <c r="C1544" s="3" t="n">
        <v>45996</v>
      </c>
      <c r="D1544" s="3" t="n">
        <v>46026</v>
      </c>
      <c r="E1544" s="4" t="n">
        <v>392.14</v>
      </c>
      <c r="F1544">
        <f>Summary!$B$3-D1544</f>
        <v/>
      </c>
      <c r="G1544">
        <f>IF(D1544&gt;Summary!$B$3,"Current",IF(F1544&lt;=30,"0-30",IF(F1544&lt;=60,"31-60",IF(F1544&lt;=90,"61-90","90+"))))</f>
        <v/>
      </c>
    </row>
    <row r="1545">
      <c r="A1545" t="inlineStr">
        <is>
          <t>0009028776</t>
        </is>
      </c>
      <c r="B1545" t="inlineStr">
        <is>
          <t>0000100525</t>
        </is>
      </c>
      <c r="C1545" s="3" t="n">
        <v>45997</v>
      </c>
      <c r="D1545" s="3" t="n">
        <v>46042</v>
      </c>
      <c r="E1545" s="4" t="n">
        <v>1799.5</v>
      </c>
      <c r="F1545">
        <f>Summary!$B$3-D1545</f>
        <v/>
      </c>
      <c r="G1545">
        <f>IF(D1545&gt;Summary!$B$3,"Current",IF(F1545&lt;=30,"0-30",IF(F1545&lt;=60,"31-60",IF(F1545&lt;=90,"61-90","90+"))))</f>
        <v/>
      </c>
    </row>
    <row r="1546">
      <c r="A1546" t="inlineStr">
        <is>
          <t>0009028777</t>
        </is>
      </c>
      <c r="B1546" t="inlineStr">
        <is>
          <t>0000100200</t>
        </is>
      </c>
      <c r="C1546" s="3" t="n">
        <v>45995</v>
      </c>
      <c r="D1546" s="3" t="n">
        <v>46040</v>
      </c>
      <c r="E1546" s="4" t="n">
        <v>2566.23</v>
      </c>
      <c r="F1546">
        <f>Summary!$B$3-D1546</f>
        <v/>
      </c>
      <c r="G1546">
        <f>IF(D1546&gt;Summary!$B$3,"Current",IF(F1546&lt;=30,"0-30",IF(F1546&lt;=60,"31-60",IF(F1546&lt;=90,"61-90","90+"))))</f>
        <v/>
      </c>
    </row>
    <row r="1547">
      <c r="A1547" t="inlineStr">
        <is>
          <t>0009028778</t>
        </is>
      </c>
      <c r="B1547" t="inlineStr">
        <is>
          <t>0000100346</t>
        </is>
      </c>
      <c r="C1547" s="3" t="n">
        <v>45992</v>
      </c>
      <c r="D1547" s="3" t="n">
        <v>46037</v>
      </c>
      <c r="E1547" s="4" t="n">
        <v>259.14</v>
      </c>
      <c r="F1547">
        <f>Summary!$B$3-D1547</f>
        <v/>
      </c>
      <c r="G1547">
        <f>IF(D1547&gt;Summary!$B$3,"Current",IF(F1547&lt;=30,"0-30",IF(F1547&lt;=60,"31-60",IF(F1547&lt;=90,"61-90","90+"))))</f>
        <v/>
      </c>
    </row>
    <row r="1548">
      <c r="A1548" t="inlineStr">
        <is>
          <t>0009028779</t>
        </is>
      </c>
      <c r="B1548" t="inlineStr">
        <is>
          <t>0000100254</t>
        </is>
      </c>
      <c r="C1548" s="3" t="n">
        <v>45991</v>
      </c>
      <c r="D1548" s="3" t="n">
        <v>46021</v>
      </c>
      <c r="E1548" s="4" t="n">
        <v>391.59</v>
      </c>
      <c r="F1548">
        <f>Summary!$B$3-D1548</f>
        <v/>
      </c>
      <c r="G1548">
        <f>IF(D1548&gt;Summary!$B$3,"Current",IF(F1548&lt;=30,"0-30",IF(F1548&lt;=60,"31-60",IF(F1548&lt;=90,"61-90","90+"))))</f>
        <v/>
      </c>
    </row>
    <row r="1549">
      <c r="A1549" t="inlineStr">
        <is>
          <t>0009028780</t>
        </is>
      </c>
      <c r="B1549" t="inlineStr">
        <is>
          <t>0000100369</t>
        </is>
      </c>
      <c r="C1549" s="3" t="n">
        <v>46000</v>
      </c>
      <c r="D1549" s="3" t="n">
        <v>46030</v>
      </c>
      <c r="E1549" s="4" t="n">
        <v>1425.53</v>
      </c>
      <c r="F1549">
        <f>Summary!$B$3-D1549</f>
        <v/>
      </c>
      <c r="G1549">
        <f>IF(D1549&gt;Summary!$B$3,"Current",IF(F1549&lt;=30,"0-30",IF(F1549&lt;=60,"31-60",IF(F1549&lt;=90,"61-90","90+"))))</f>
        <v/>
      </c>
    </row>
    <row r="1550">
      <c r="A1550" t="inlineStr">
        <is>
          <t>0009028782</t>
        </is>
      </c>
      <c r="B1550" t="inlineStr">
        <is>
          <t>0000100028</t>
        </is>
      </c>
      <c r="C1550" s="3" t="n">
        <v>45993</v>
      </c>
      <c r="D1550" s="3" t="n">
        <v>46038</v>
      </c>
      <c r="E1550" s="4" t="n">
        <v>2248.39</v>
      </c>
      <c r="F1550">
        <f>Summary!$B$3-D1550</f>
        <v/>
      </c>
      <c r="G1550">
        <f>IF(D1550&gt;Summary!$B$3,"Current",IF(F1550&lt;=30,"0-30",IF(F1550&lt;=60,"31-60",IF(F1550&lt;=90,"61-90","90+"))))</f>
        <v/>
      </c>
    </row>
    <row r="1551">
      <c r="A1551" t="inlineStr">
        <is>
          <t>0009028783</t>
        </is>
      </c>
      <c r="B1551" t="inlineStr">
        <is>
          <t>0000100571</t>
        </is>
      </c>
      <c r="C1551" s="3" t="n">
        <v>46001</v>
      </c>
      <c r="D1551" s="3" t="n">
        <v>46046</v>
      </c>
      <c r="E1551" s="4" t="n">
        <v>120.9</v>
      </c>
      <c r="F1551">
        <f>Summary!$B$3-D1551</f>
        <v/>
      </c>
      <c r="G1551">
        <f>IF(D1551&gt;Summary!$B$3,"Current",IF(F1551&lt;=30,"0-30",IF(F1551&lt;=60,"31-60",IF(F1551&lt;=90,"61-90","90+"))))</f>
        <v/>
      </c>
    </row>
    <row r="1552">
      <c r="A1552" t="inlineStr">
        <is>
          <t>0009028784</t>
        </is>
      </c>
      <c r="B1552" t="inlineStr">
        <is>
          <t>0000100299</t>
        </is>
      </c>
      <c r="C1552" s="3" t="n">
        <v>45991</v>
      </c>
      <c r="D1552" s="3" t="n">
        <v>46036</v>
      </c>
      <c r="E1552" s="4" t="n">
        <v>787.12</v>
      </c>
      <c r="F1552">
        <f>Summary!$B$3-D1552</f>
        <v/>
      </c>
      <c r="G1552">
        <f>IF(D1552&gt;Summary!$B$3,"Current",IF(F1552&lt;=30,"0-30",IF(F1552&lt;=60,"31-60",IF(F1552&lt;=90,"61-90","90+"))))</f>
        <v/>
      </c>
    </row>
    <row r="1553">
      <c r="A1553" t="inlineStr">
        <is>
          <t>0009028785</t>
        </is>
      </c>
      <c r="B1553" t="inlineStr">
        <is>
          <t>0000100456</t>
        </is>
      </c>
      <c r="C1553" s="3" t="n">
        <v>45997</v>
      </c>
      <c r="D1553" s="3" t="n">
        <v>46057</v>
      </c>
      <c r="E1553" s="4" t="n">
        <v>1369.4</v>
      </c>
      <c r="F1553">
        <f>Summary!$B$3-D1553</f>
        <v/>
      </c>
      <c r="G1553">
        <f>IF(D1553&gt;Summary!$B$3,"Current",IF(F1553&lt;=30,"0-30",IF(F1553&lt;=60,"31-60",IF(F1553&lt;=90,"61-90","90+"))))</f>
        <v/>
      </c>
    </row>
    <row r="1554">
      <c r="A1554" t="inlineStr">
        <is>
          <t>0009028786</t>
        </is>
      </c>
      <c r="B1554" t="inlineStr">
        <is>
          <t>0000100128</t>
        </is>
      </c>
      <c r="C1554" s="3" t="n">
        <v>45997</v>
      </c>
      <c r="D1554" s="3" t="n">
        <v>46027</v>
      </c>
      <c r="E1554" s="4" t="n">
        <v>1035.14</v>
      </c>
      <c r="F1554">
        <f>Summary!$B$3-D1554</f>
        <v/>
      </c>
      <c r="G1554">
        <f>IF(D1554&gt;Summary!$B$3,"Current",IF(F1554&lt;=30,"0-30",IF(F1554&lt;=60,"31-60",IF(F1554&lt;=90,"61-90","90+"))))</f>
        <v/>
      </c>
    </row>
    <row r="1555">
      <c r="A1555" t="inlineStr">
        <is>
          <t>0009028787</t>
        </is>
      </c>
      <c r="B1555" t="inlineStr">
        <is>
          <t>0000100249</t>
        </is>
      </c>
      <c r="C1555" s="3" t="n">
        <v>45997</v>
      </c>
      <c r="D1555" s="3" t="n">
        <v>46057</v>
      </c>
      <c r="E1555" s="4" t="n">
        <v>4673.04</v>
      </c>
      <c r="F1555">
        <f>Summary!$B$3-D1555</f>
        <v/>
      </c>
      <c r="G1555">
        <f>IF(D1555&gt;Summary!$B$3,"Current",IF(F1555&lt;=30,"0-30",IF(F1555&lt;=60,"31-60",IF(F1555&lt;=90,"61-90","90+"))))</f>
        <v/>
      </c>
    </row>
    <row r="1556">
      <c r="A1556" t="inlineStr">
        <is>
          <t>0009028788</t>
        </is>
      </c>
      <c r="B1556" t="inlineStr">
        <is>
          <t>0000100219</t>
        </is>
      </c>
      <c r="C1556" s="3" t="n">
        <v>45999</v>
      </c>
      <c r="D1556" s="3" t="n">
        <v>46029</v>
      </c>
      <c r="E1556" s="4" t="n">
        <v>199.32</v>
      </c>
      <c r="F1556">
        <f>Summary!$B$3-D1556</f>
        <v/>
      </c>
      <c r="G1556">
        <f>IF(D1556&gt;Summary!$B$3,"Current",IF(F1556&lt;=30,"0-30",IF(F1556&lt;=60,"31-60",IF(F1556&lt;=90,"61-90","90+"))))</f>
        <v/>
      </c>
    </row>
    <row r="1557">
      <c r="A1557" t="inlineStr">
        <is>
          <t>0009028789</t>
        </is>
      </c>
      <c r="B1557" t="inlineStr">
        <is>
          <t>0000100379</t>
        </is>
      </c>
      <c r="C1557" s="3" t="n">
        <v>46000</v>
      </c>
      <c r="D1557" s="3" t="n">
        <v>46030</v>
      </c>
      <c r="E1557" s="4" t="n">
        <v>716.28</v>
      </c>
      <c r="F1557">
        <f>Summary!$B$3-D1557</f>
        <v/>
      </c>
      <c r="G1557">
        <f>IF(D1557&gt;Summary!$B$3,"Current",IF(F1557&lt;=30,"0-30",IF(F1557&lt;=60,"31-60",IF(F1557&lt;=90,"61-90","90+"))))</f>
        <v/>
      </c>
    </row>
    <row r="1558">
      <c r="A1558" t="inlineStr">
        <is>
          <t>0009028790</t>
        </is>
      </c>
      <c r="B1558" t="inlineStr">
        <is>
          <t>0000100429</t>
        </is>
      </c>
      <c r="C1558" s="3" t="n">
        <v>45994</v>
      </c>
      <c r="D1558" s="3" t="n">
        <v>46024</v>
      </c>
      <c r="E1558" s="4" t="n">
        <v>218.16</v>
      </c>
      <c r="F1558">
        <f>Summary!$B$3-D1558</f>
        <v/>
      </c>
      <c r="G1558">
        <f>IF(D1558&gt;Summary!$B$3,"Current",IF(F1558&lt;=30,"0-30",IF(F1558&lt;=60,"31-60",IF(F1558&lt;=90,"61-90","90+"))))</f>
        <v/>
      </c>
    </row>
    <row r="1559">
      <c r="A1559" t="inlineStr">
        <is>
          <t>0009028791</t>
        </is>
      </c>
      <c r="B1559" t="inlineStr">
        <is>
          <t>0000100001</t>
        </is>
      </c>
      <c r="C1559" s="3" t="n">
        <v>45996</v>
      </c>
      <c r="D1559" s="3" t="n">
        <v>46041</v>
      </c>
      <c r="E1559" s="4" t="n">
        <v>868.8200000000001</v>
      </c>
      <c r="F1559">
        <f>Summary!$B$3-D1559</f>
        <v/>
      </c>
      <c r="G1559">
        <f>IF(D1559&gt;Summary!$B$3,"Current",IF(F1559&lt;=30,"0-30",IF(F1559&lt;=60,"31-60",IF(F1559&lt;=90,"61-90","90+"))))</f>
        <v/>
      </c>
    </row>
    <row r="1560">
      <c r="A1560" t="inlineStr">
        <is>
          <t>0009028792</t>
        </is>
      </c>
      <c r="B1560" t="inlineStr">
        <is>
          <t>0000100300</t>
        </is>
      </c>
      <c r="C1560" s="3" t="n">
        <v>45998</v>
      </c>
      <c r="D1560" s="3" t="n">
        <v>46028</v>
      </c>
      <c r="E1560" s="4" t="n">
        <v>716.58</v>
      </c>
      <c r="F1560">
        <f>Summary!$B$3-D1560</f>
        <v/>
      </c>
      <c r="G1560">
        <f>IF(D1560&gt;Summary!$B$3,"Current",IF(F1560&lt;=30,"0-30",IF(F1560&lt;=60,"31-60",IF(F1560&lt;=90,"61-90","90+"))))</f>
        <v/>
      </c>
    </row>
    <row r="1561">
      <c r="A1561" t="inlineStr">
        <is>
          <t>0009028793</t>
        </is>
      </c>
      <c r="B1561" t="inlineStr">
        <is>
          <t>0000100017</t>
        </is>
      </c>
      <c r="C1561" s="3" t="n">
        <v>45998</v>
      </c>
      <c r="D1561" s="3" t="n">
        <v>46028</v>
      </c>
      <c r="E1561" s="4" t="n">
        <v>1502.6</v>
      </c>
      <c r="F1561">
        <f>Summary!$B$3-D1561</f>
        <v/>
      </c>
      <c r="G1561">
        <f>IF(D1561&gt;Summary!$B$3,"Current",IF(F1561&lt;=30,"0-30",IF(F1561&lt;=60,"31-60",IF(F1561&lt;=90,"61-90","90+"))))</f>
        <v/>
      </c>
    </row>
    <row r="1562">
      <c r="A1562" t="inlineStr">
        <is>
          <t>0009028794</t>
        </is>
      </c>
      <c r="B1562" t="inlineStr">
        <is>
          <t>0000100001</t>
        </is>
      </c>
      <c r="C1562" s="3" t="n">
        <v>45999</v>
      </c>
      <c r="D1562" s="3" t="n">
        <v>46044</v>
      </c>
      <c r="E1562" s="4" t="n">
        <v>59.09</v>
      </c>
      <c r="F1562">
        <f>Summary!$B$3-D1562</f>
        <v/>
      </c>
      <c r="G1562">
        <f>IF(D1562&gt;Summary!$B$3,"Current",IF(F1562&lt;=30,"0-30",IF(F1562&lt;=60,"31-60",IF(F1562&lt;=90,"61-90","90+"))))</f>
        <v/>
      </c>
    </row>
    <row r="1563">
      <c r="A1563" t="inlineStr">
        <is>
          <t>0009028796</t>
        </is>
      </c>
      <c r="B1563" t="inlineStr">
        <is>
          <t>0000100044</t>
        </is>
      </c>
      <c r="C1563" s="3" t="n">
        <v>45990</v>
      </c>
      <c r="D1563" s="3" t="n">
        <v>46035</v>
      </c>
      <c r="E1563" s="4" t="n">
        <v>333.13</v>
      </c>
      <c r="F1563">
        <f>Summary!$B$3-D1563</f>
        <v/>
      </c>
      <c r="G1563">
        <f>IF(D1563&gt;Summary!$B$3,"Current",IF(F1563&lt;=30,"0-30",IF(F1563&lt;=60,"31-60",IF(F1563&lt;=90,"61-90","90+"))))</f>
        <v/>
      </c>
    </row>
    <row r="1564">
      <c r="A1564" t="inlineStr">
        <is>
          <t>0009028797</t>
        </is>
      </c>
      <c r="B1564" t="inlineStr">
        <is>
          <t>0000100456</t>
        </is>
      </c>
      <c r="C1564" s="3" t="n">
        <v>46000</v>
      </c>
      <c r="D1564" s="3" t="n">
        <v>46060</v>
      </c>
      <c r="E1564" s="4" t="n">
        <v>1774.46</v>
      </c>
      <c r="F1564">
        <f>Summary!$B$3-D1564</f>
        <v/>
      </c>
      <c r="G1564">
        <f>IF(D1564&gt;Summary!$B$3,"Current",IF(F1564&lt;=30,"0-30",IF(F1564&lt;=60,"31-60",IF(F1564&lt;=90,"61-90","90+"))))</f>
        <v/>
      </c>
    </row>
    <row r="1565">
      <c r="A1565" t="inlineStr">
        <is>
          <t>0009028798</t>
        </is>
      </c>
      <c r="B1565" t="inlineStr">
        <is>
          <t>0000100499</t>
        </is>
      </c>
      <c r="C1565" s="3" t="n">
        <v>45993</v>
      </c>
      <c r="D1565" s="3" t="n">
        <v>46023</v>
      </c>
      <c r="E1565" s="4" t="n">
        <v>890.95</v>
      </c>
      <c r="F1565">
        <f>Summary!$B$3-D1565</f>
        <v/>
      </c>
      <c r="G1565">
        <f>IF(D1565&gt;Summary!$B$3,"Current",IF(F1565&lt;=30,"0-30",IF(F1565&lt;=60,"31-60",IF(F1565&lt;=90,"61-90","90+"))))</f>
        <v/>
      </c>
    </row>
    <row r="1566">
      <c r="A1566" t="inlineStr">
        <is>
          <t>0009028799</t>
        </is>
      </c>
      <c r="B1566" t="inlineStr">
        <is>
          <t>0000100346</t>
        </is>
      </c>
      <c r="C1566" s="3" t="n">
        <v>45992</v>
      </c>
      <c r="D1566" s="3" t="n">
        <v>46037</v>
      </c>
      <c r="E1566" s="4" t="n">
        <v>415.25</v>
      </c>
      <c r="F1566">
        <f>Summary!$B$3-D1566</f>
        <v/>
      </c>
      <c r="G1566">
        <f>IF(D1566&gt;Summary!$B$3,"Current",IF(F1566&lt;=30,"0-30",IF(F1566&lt;=60,"31-60",IF(F1566&lt;=90,"61-90","90+"))))</f>
        <v/>
      </c>
    </row>
    <row r="1567">
      <c r="A1567" t="inlineStr">
        <is>
          <t>0009028800</t>
        </is>
      </c>
      <c r="B1567" t="inlineStr">
        <is>
          <t>0000100543</t>
        </is>
      </c>
      <c r="C1567" s="3" t="n">
        <v>45990</v>
      </c>
      <c r="D1567" s="3" t="n">
        <v>46050</v>
      </c>
      <c r="E1567" s="4" t="n">
        <v>151.62</v>
      </c>
      <c r="F1567">
        <f>Summary!$B$3-D1567</f>
        <v/>
      </c>
      <c r="G1567">
        <f>IF(D1567&gt;Summary!$B$3,"Current",IF(F1567&lt;=30,"0-30",IF(F1567&lt;=60,"31-60",IF(F1567&lt;=90,"61-90","90+"))))</f>
        <v/>
      </c>
    </row>
    <row r="1568">
      <c r="A1568" t="inlineStr">
        <is>
          <t>0009028801</t>
        </is>
      </c>
      <c r="B1568" t="inlineStr">
        <is>
          <t>0000100490</t>
        </is>
      </c>
      <c r="C1568" s="3" t="n">
        <v>45995</v>
      </c>
      <c r="D1568" s="3" t="n">
        <v>46025</v>
      </c>
      <c r="E1568" s="4" t="n">
        <v>926.73</v>
      </c>
      <c r="F1568">
        <f>Summary!$B$3-D1568</f>
        <v/>
      </c>
      <c r="G1568">
        <f>IF(D1568&gt;Summary!$B$3,"Current",IF(F1568&lt;=30,"0-30",IF(F1568&lt;=60,"31-60",IF(F1568&lt;=90,"61-90","90+"))))</f>
        <v/>
      </c>
    </row>
    <row r="1569">
      <c r="A1569" t="inlineStr">
        <is>
          <t>0009028802</t>
        </is>
      </c>
      <c r="B1569" t="inlineStr">
        <is>
          <t>0000100412</t>
        </is>
      </c>
      <c r="C1569" s="3" t="n">
        <v>45999</v>
      </c>
      <c r="D1569" s="3" t="n">
        <v>46029</v>
      </c>
      <c r="E1569" s="4" t="n">
        <v>521.51</v>
      </c>
      <c r="F1569">
        <f>Summary!$B$3-D1569</f>
        <v/>
      </c>
      <c r="G1569">
        <f>IF(D1569&gt;Summary!$B$3,"Current",IF(F1569&lt;=30,"0-30",IF(F1569&lt;=60,"31-60",IF(F1569&lt;=90,"61-90","90+"))))</f>
        <v/>
      </c>
    </row>
    <row r="1570">
      <c r="A1570" t="inlineStr">
        <is>
          <t>0009028803</t>
        </is>
      </c>
      <c r="B1570" t="inlineStr">
        <is>
          <t>0000100169</t>
        </is>
      </c>
      <c r="C1570" s="3" t="n">
        <v>45998</v>
      </c>
      <c r="D1570" s="3" t="n">
        <v>46043</v>
      </c>
      <c r="E1570" s="4" t="n">
        <v>1243.2</v>
      </c>
      <c r="F1570">
        <f>Summary!$B$3-D1570</f>
        <v/>
      </c>
      <c r="G1570">
        <f>IF(D1570&gt;Summary!$B$3,"Current",IF(F1570&lt;=30,"0-30",IF(F1570&lt;=60,"31-60",IF(F1570&lt;=90,"61-90","90+"))))</f>
        <v/>
      </c>
    </row>
    <row r="1571">
      <c r="A1571" t="inlineStr">
        <is>
          <t>0009028804</t>
        </is>
      </c>
      <c r="B1571" t="inlineStr">
        <is>
          <t>0000100423</t>
        </is>
      </c>
      <c r="C1571" s="3" t="n">
        <v>45995</v>
      </c>
      <c r="D1571" s="3" t="n">
        <v>46040</v>
      </c>
      <c r="E1571" s="4" t="n">
        <v>2326.07</v>
      </c>
      <c r="F1571">
        <f>Summary!$B$3-D1571</f>
        <v/>
      </c>
      <c r="G1571">
        <f>IF(D1571&gt;Summary!$B$3,"Current",IF(F1571&lt;=30,"0-30",IF(F1571&lt;=60,"31-60",IF(F1571&lt;=90,"61-90","90+"))))</f>
        <v/>
      </c>
    </row>
    <row r="1572">
      <c r="A1572" t="inlineStr">
        <is>
          <t>0009028805</t>
        </is>
      </c>
      <c r="B1572" t="inlineStr">
        <is>
          <t>0000100401</t>
        </is>
      </c>
      <c r="C1572" s="3" t="n">
        <v>45990</v>
      </c>
      <c r="D1572" s="3" t="n">
        <v>46020</v>
      </c>
      <c r="E1572" s="4" t="n">
        <v>314.89</v>
      </c>
      <c r="F1572">
        <f>Summary!$B$3-D1572</f>
        <v/>
      </c>
      <c r="G1572">
        <f>IF(D1572&gt;Summary!$B$3,"Current",IF(F1572&lt;=30,"0-30",IF(F1572&lt;=60,"31-60",IF(F1572&lt;=90,"61-90","90+"))))</f>
        <v/>
      </c>
    </row>
    <row r="1573">
      <c r="A1573" t="inlineStr">
        <is>
          <t>0009028806</t>
        </is>
      </c>
      <c r="B1573" t="inlineStr">
        <is>
          <t>0000100587</t>
        </is>
      </c>
      <c r="C1573" s="3" t="n">
        <v>45994</v>
      </c>
      <c r="D1573" s="3" t="n">
        <v>46054</v>
      </c>
      <c r="E1573" s="4" t="n">
        <v>692.16</v>
      </c>
      <c r="F1573">
        <f>Summary!$B$3-D1573</f>
        <v/>
      </c>
      <c r="G1573">
        <f>IF(D1573&gt;Summary!$B$3,"Current",IF(F1573&lt;=30,"0-30",IF(F1573&lt;=60,"31-60",IF(F1573&lt;=90,"61-90","90+"))))</f>
        <v/>
      </c>
    </row>
    <row r="1574">
      <c r="A1574" t="inlineStr">
        <is>
          <t>0009028807</t>
        </is>
      </c>
      <c r="B1574" t="inlineStr">
        <is>
          <t>0000100417</t>
        </is>
      </c>
      <c r="C1574" s="3" t="n">
        <v>45995</v>
      </c>
      <c r="D1574" s="3" t="n">
        <v>46055</v>
      </c>
      <c r="E1574" s="4" t="n">
        <v>315.8</v>
      </c>
      <c r="F1574">
        <f>Summary!$B$3-D1574</f>
        <v/>
      </c>
      <c r="G1574">
        <f>IF(D1574&gt;Summary!$B$3,"Current",IF(F1574&lt;=30,"0-30",IF(F1574&lt;=60,"31-60",IF(F1574&lt;=90,"61-90","90+"))))</f>
        <v/>
      </c>
    </row>
    <row r="1575">
      <c r="A1575" t="inlineStr">
        <is>
          <t>0009028808</t>
        </is>
      </c>
      <c r="B1575" t="inlineStr">
        <is>
          <t>0000100514</t>
        </is>
      </c>
      <c r="C1575" s="3" t="n">
        <v>45998</v>
      </c>
      <c r="D1575" s="3" t="n">
        <v>46058</v>
      </c>
      <c r="E1575" s="4" t="n">
        <v>560.37</v>
      </c>
      <c r="F1575">
        <f>Summary!$B$3-D1575</f>
        <v/>
      </c>
      <c r="G1575">
        <f>IF(D1575&gt;Summary!$B$3,"Current",IF(F1575&lt;=30,"0-30",IF(F1575&lt;=60,"31-60",IF(F1575&lt;=90,"61-90","90+"))))</f>
        <v/>
      </c>
    </row>
    <row r="1576">
      <c r="A1576" t="inlineStr">
        <is>
          <t>0009028809</t>
        </is>
      </c>
      <c r="B1576" t="inlineStr">
        <is>
          <t>0000100056</t>
        </is>
      </c>
      <c r="C1576" s="3" t="n">
        <v>45997</v>
      </c>
      <c r="D1576" s="3" t="n">
        <v>46057</v>
      </c>
      <c r="E1576" s="4" t="n">
        <v>841.16</v>
      </c>
      <c r="F1576">
        <f>Summary!$B$3-D1576</f>
        <v/>
      </c>
      <c r="G1576">
        <f>IF(D1576&gt;Summary!$B$3,"Current",IF(F1576&lt;=30,"0-30",IF(F1576&lt;=60,"31-60",IF(F1576&lt;=90,"61-90","90+"))))</f>
        <v/>
      </c>
    </row>
    <row r="1577">
      <c r="A1577" t="inlineStr">
        <is>
          <t>0009028810</t>
        </is>
      </c>
      <c r="B1577" t="inlineStr">
        <is>
          <t>0000100321</t>
        </is>
      </c>
      <c r="C1577" s="3" t="n">
        <v>45997</v>
      </c>
      <c r="D1577" s="3" t="n">
        <v>46057</v>
      </c>
      <c r="E1577" s="4" t="n">
        <v>3843.18</v>
      </c>
      <c r="F1577">
        <f>Summary!$B$3-D1577</f>
        <v/>
      </c>
      <c r="G1577">
        <f>IF(D1577&gt;Summary!$B$3,"Current",IF(F1577&lt;=30,"0-30",IF(F1577&lt;=60,"31-60",IF(F1577&lt;=90,"61-90","90+"))))</f>
        <v/>
      </c>
    </row>
    <row r="1578">
      <c r="A1578" t="inlineStr">
        <is>
          <t>0009028811</t>
        </is>
      </c>
      <c r="B1578" t="inlineStr">
        <is>
          <t>0000100026</t>
        </is>
      </c>
      <c r="C1578" s="3" t="n">
        <v>45994</v>
      </c>
      <c r="D1578" s="3" t="n">
        <v>46039</v>
      </c>
      <c r="E1578" s="4" t="n">
        <v>623.78</v>
      </c>
      <c r="F1578">
        <f>Summary!$B$3-D1578</f>
        <v/>
      </c>
      <c r="G1578">
        <f>IF(D1578&gt;Summary!$B$3,"Current",IF(F1578&lt;=30,"0-30",IF(F1578&lt;=60,"31-60",IF(F1578&lt;=90,"61-90","90+"))))</f>
        <v/>
      </c>
    </row>
    <row r="1579">
      <c r="A1579" t="inlineStr">
        <is>
          <t>0009028812</t>
        </is>
      </c>
      <c r="B1579" t="inlineStr">
        <is>
          <t>0000100019</t>
        </is>
      </c>
      <c r="C1579" s="3" t="n">
        <v>45994</v>
      </c>
      <c r="D1579" s="3" t="n">
        <v>46024</v>
      </c>
      <c r="E1579" s="4" t="n">
        <v>149.13</v>
      </c>
      <c r="F1579">
        <f>Summary!$B$3-D1579</f>
        <v/>
      </c>
      <c r="G1579">
        <f>IF(D1579&gt;Summary!$B$3,"Current",IF(F1579&lt;=30,"0-30",IF(F1579&lt;=60,"31-60",IF(F1579&lt;=90,"61-90","90+"))))</f>
        <v/>
      </c>
    </row>
    <row r="1580">
      <c r="A1580" t="inlineStr">
        <is>
          <t>0009028813</t>
        </is>
      </c>
      <c r="B1580" t="inlineStr">
        <is>
          <t>0000100196</t>
        </is>
      </c>
      <c r="C1580" s="3" t="n">
        <v>45999</v>
      </c>
      <c r="D1580" s="3" t="n">
        <v>46029</v>
      </c>
      <c r="E1580" s="4" t="n">
        <v>9148.690000000001</v>
      </c>
      <c r="F1580">
        <f>Summary!$B$3-D1580</f>
        <v/>
      </c>
      <c r="G1580">
        <f>IF(D1580&gt;Summary!$B$3,"Current",IF(F1580&lt;=30,"0-30",IF(F1580&lt;=60,"31-60",IF(F1580&lt;=90,"61-90","90+"))))</f>
        <v/>
      </c>
    </row>
    <row r="1581">
      <c r="A1581" t="inlineStr">
        <is>
          <t>0009028815</t>
        </is>
      </c>
      <c r="B1581" t="inlineStr">
        <is>
          <t>0000100587</t>
        </is>
      </c>
      <c r="C1581" s="3" t="n">
        <v>45997</v>
      </c>
      <c r="D1581" s="3" t="n">
        <v>46057</v>
      </c>
      <c r="E1581" s="4" t="n">
        <v>1177.64</v>
      </c>
      <c r="F1581">
        <f>Summary!$B$3-D1581</f>
        <v/>
      </c>
      <c r="G1581">
        <f>IF(D1581&gt;Summary!$B$3,"Current",IF(F1581&lt;=30,"0-30",IF(F1581&lt;=60,"31-60",IF(F1581&lt;=90,"61-90","90+"))))</f>
        <v/>
      </c>
    </row>
    <row r="1582">
      <c r="A1582" t="inlineStr">
        <is>
          <t>0009028816</t>
        </is>
      </c>
      <c r="B1582" t="inlineStr">
        <is>
          <t>0000100357</t>
        </is>
      </c>
      <c r="C1582" s="3" t="n">
        <v>45990</v>
      </c>
      <c r="D1582" s="3" t="n">
        <v>46035</v>
      </c>
      <c r="E1582" s="4" t="n">
        <v>139.92</v>
      </c>
      <c r="F1582">
        <f>Summary!$B$3-D1582</f>
        <v/>
      </c>
      <c r="G1582">
        <f>IF(D1582&gt;Summary!$B$3,"Current",IF(F1582&lt;=30,"0-30",IF(F1582&lt;=60,"31-60",IF(F1582&lt;=90,"61-90","90+"))))</f>
        <v/>
      </c>
    </row>
    <row r="1583">
      <c r="A1583" t="inlineStr">
        <is>
          <t>0009028817</t>
        </is>
      </c>
      <c r="B1583" t="inlineStr">
        <is>
          <t>0000100203</t>
        </is>
      </c>
      <c r="C1583" s="3" t="n">
        <v>45990</v>
      </c>
      <c r="D1583" s="3" t="n">
        <v>46035</v>
      </c>
      <c r="E1583" s="4" t="n">
        <v>871.7</v>
      </c>
      <c r="F1583">
        <f>Summary!$B$3-D1583</f>
        <v/>
      </c>
      <c r="G1583">
        <f>IF(D1583&gt;Summary!$B$3,"Current",IF(F1583&lt;=30,"0-30",IF(F1583&lt;=60,"31-60",IF(F1583&lt;=90,"61-90","90+"))))</f>
        <v/>
      </c>
    </row>
    <row r="1584">
      <c r="A1584" t="inlineStr">
        <is>
          <t>0009028818</t>
        </is>
      </c>
      <c r="B1584" t="inlineStr">
        <is>
          <t>0000100206</t>
        </is>
      </c>
      <c r="C1584" s="3" t="n">
        <v>45993</v>
      </c>
      <c r="D1584" s="3" t="n">
        <v>46038</v>
      </c>
      <c r="E1584" s="4" t="n">
        <v>108.6</v>
      </c>
      <c r="F1584">
        <f>Summary!$B$3-D1584</f>
        <v/>
      </c>
      <c r="G1584">
        <f>IF(D1584&gt;Summary!$B$3,"Current",IF(F1584&lt;=30,"0-30",IF(F1584&lt;=60,"31-60",IF(F1584&lt;=90,"61-90","90+"))))</f>
        <v/>
      </c>
    </row>
    <row r="1585">
      <c r="A1585" t="inlineStr">
        <is>
          <t>0009028819</t>
        </is>
      </c>
      <c r="B1585" t="inlineStr">
        <is>
          <t>0000100539</t>
        </is>
      </c>
      <c r="C1585" s="3" t="n">
        <v>45993</v>
      </c>
      <c r="D1585" s="3" t="n">
        <v>46038</v>
      </c>
      <c r="E1585" s="4" t="n">
        <v>720.71</v>
      </c>
      <c r="F1585">
        <f>Summary!$B$3-D1585</f>
        <v/>
      </c>
      <c r="G1585">
        <f>IF(D1585&gt;Summary!$B$3,"Current",IF(F1585&lt;=30,"0-30",IF(F1585&lt;=60,"31-60",IF(F1585&lt;=90,"61-90","90+"))))</f>
        <v/>
      </c>
    </row>
    <row r="1586">
      <c r="A1586" t="inlineStr">
        <is>
          <t>0009028821</t>
        </is>
      </c>
      <c r="B1586" t="inlineStr">
        <is>
          <t>0000100163</t>
        </is>
      </c>
      <c r="C1586" s="3" t="n">
        <v>46000</v>
      </c>
      <c r="D1586" s="3" t="n">
        <v>46030</v>
      </c>
      <c r="E1586" s="4" t="n">
        <v>2097.53</v>
      </c>
      <c r="F1586">
        <f>Summary!$B$3-D1586</f>
        <v/>
      </c>
      <c r="G1586">
        <f>IF(D1586&gt;Summary!$B$3,"Current",IF(F1586&lt;=30,"0-30",IF(F1586&lt;=60,"31-60",IF(F1586&lt;=90,"61-90","90+"))))</f>
        <v/>
      </c>
    </row>
    <row r="1587">
      <c r="A1587" t="inlineStr">
        <is>
          <t>0009028822</t>
        </is>
      </c>
      <c r="B1587" t="inlineStr">
        <is>
          <t>0000100052</t>
        </is>
      </c>
      <c r="C1587" s="3" t="n">
        <v>45996</v>
      </c>
      <c r="D1587" s="3" t="n">
        <v>46041</v>
      </c>
      <c r="E1587" s="4" t="n">
        <v>1065.89</v>
      </c>
      <c r="F1587">
        <f>Summary!$B$3-D1587</f>
        <v/>
      </c>
      <c r="G1587">
        <f>IF(D1587&gt;Summary!$B$3,"Current",IF(F1587&lt;=30,"0-30",IF(F1587&lt;=60,"31-60",IF(F1587&lt;=90,"61-90","90+"))))</f>
        <v/>
      </c>
    </row>
    <row r="1588">
      <c r="A1588" t="inlineStr">
        <is>
          <t>0009028823</t>
        </is>
      </c>
      <c r="B1588" t="inlineStr">
        <is>
          <t>0000100416</t>
        </is>
      </c>
      <c r="C1588" s="3" t="n">
        <v>45994</v>
      </c>
      <c r="D1588" s="3" t="n">
        <v>46039</v>
      </c>
      <c r="E1588" s="4" t="n">
        <v>279.76</v>
      </c>
      <c r="F1588">
        <f>Summary!$B$3-D1588</f>
        <v/>
      </c>
      <c r="G1588">
        <f>IF(D1588&gt;Summary!$B$3,"Current",IF(F1588&lt;=30,"0-30",IF(F1588&lt;=60,"31-60",IF(F1588&lt;=90,"61-90","90+"))))</f>
        <v/>
      </c>
    </row>
    <row r="1589">
      <c r="A1589" t="inlineStr">
        <is>
          <t>0009028824</t>
        </is>
      </c>
      <c r="B1589" t="inlineStr">
        <is>
          <t>0000100222</t>
        </is>
      </c>
      <c r="C1589" s="3" t="n">
        <v>45994</v>
      </c>
      <c r="D1589" s="3" t="n">
        <v>46024</v>
      </c>
      <c r="E1589" s="4" t="n">
        <v>903.11</v>
      </c>
      <c r="F1589">
        <f>Summary!$B$3-D1589</f>
        <v/>
      </c>
      <c r="G1589">
        <f>IF(D1589&gt;Summary!$B$3,"Current",IF(F1589&lt;=30,"0-30",IF(F1589&lt;=60,"31-60",IF(F1589&lt;=90,"61-90","90+"))))</f>
        <v/>
      </c>
    </row>
    <row r="1590">
      <c r="A1590" t="inlineStr">
        <is>
          <t>0009028825</t>
        </is>
      </c>
      <c r="B1590" t="inlineStr">
        <is>
          <t>0000100165</t>
        </is>
      </c>
      <c r="C1590" s="3" t="n">
        <v>45994</v>
      </c>
      <c r="D1590" s="3" t="n">
        <v>46024</v>
      </c>
      <c r="E1590" s="4" t="n">
        <v>132.97</v>
      </c>
      <c r="F1590">
        <f>Summary!$B$3-D1590</f>
        <v/>
      </c>
      <c r="G1590">
        <f>IF(D1590&gt;Summary!$B$3,"Current",IF(F1590&lt;=30,"0-30",IF(F1590&lt;=60,"31-60",IF(F1590&lt;=90,"61-90","90+"))))</f>
        <v/>
      </c>
    </row>
    <row r="1591">
      <c r="A1591" t="inlineStr">
        <is>
          <t>0009028826</t>
        </is>
      </c>
      <c r="B1591" t="inlineStr">
        <is>
          <t>0000100453</t>
        </is>
      </c>
      <c r="C1591" s="3" t="n">
        <v>45994</v>
      </c>
      <c r="D1591" s="3" t="n">
        <v>46024</v>
      </c>
      <c r="E1591" s="4" t="n">
        <v>2106.09</v>
      </c>
      <c r="F1591">
        <f>Summary!$B$3-D1591</f>
        <v/>
      </c>
      <c r="G1591">
        <f>IF(D1591&gt;Summary!$B$3,"Current",IF(F1591&lt;=30,"0-30",IF(F1591&lt;=60,"31-60",IF(F1591&lt;=90,"61-90","90+"))))</f>
        <v/>
      </c>
    </row>
    <row r="1592">
      <c r="A1592" t="inlineStr">
        <is>
          <t>0009028827</t>
        </is>
      </c>
      <c r="B1592" t="inlineStr">
        <is>
          <t>0000100499</t>
        </is>
      </c>
      <c r="C1592" s="3" t="n">
        <v>45998</v>
      </c>
      <c r="D1592" s="3" t="n">
        <v>46028</v>
      </c>
      <c r="E1592" s="4" t="n">
        <v>997.9299999999999</v>
      </c>
      <c r="F1592">
        <f>Summary!$B$3-D1592</f>
        <v/>
      </c>
      <c r="G1592">
        <f>IF(D1592&gt;Summary!$B$3,"Current",IF(F1592&lt;=30,"0-30",IF(F1592&lt;=60,"31-60",IF(F1592&lt;=90,"61-90","90+"))))</f>
        <v/>
      </c>
    </row>
    <row r="1593">
      <c r="A1593" t="inlineStr">
        <is>
          <t>0009028828</t>
        </is>
      </c>
      <c r="B1593" t="inlineStr">
        <is>
          <t>0000100518</t>
        </is>
      </c>
      <c r="C1593" s="3" t="n">
        <v>45993</v>
      </c>
      <c r="D1593" s="3" t="n">
        <v>46023</v>
      </c>
      <c r="E1593" s="4" t="n">
        <v>1675.81</v>
      </c>
      <c r="F1593">
        <f>Summary!$B$3-D1593</f>
        <v/>
      </c>
      <c r="G1593">
        <f>IF(D1593&gt;Summary!$B$3,"Current",IF(F1593&lt;=30,"0-30",IF(F1593&lt;=60,"31-60",IF(F1593&lt;=90,"61-90","90+"))))</f>
        <v/>
      </c>
    </row>
    <row r="1594">
      <c r="A1594" t="inlineStr">
        <is>
          <t>0009028829</t>
        </is>
      </c>
      <c r="B1594" t="inlineStr">
        <is>
          <t>0000100386</t>
        </is>
      </c>
      <c r="C1594" s="3" t="n">
        <v>45997</v>
      </c>
      <c r="D1594" s="3" t="n">
        <v>46027</v>
      </c>
      <c r="E1594" s="4" t="n">
        <v>634.58</v>
      </c>
      <c r="F1594">
        <f>Summary!$B$3-D1594</f>
        <v/>
      </c>
      <c r="G1594">
        <f>IF(D1594&gt;Summary!$B$3,"Current",IF(F1594&lt;=30,"0-30",IF(F1594&lt;=60,"31-60",IF(F1594&lt;=90,"61-90","90+"))))</f>
        <v/>
      </c>
    </row>
    <row r="1595">
      <c r="A1595" t="inlineStr">
        <is>
          <t>0009028830</t>
        </is>
      </c>
      <c r="B1595" t="inlineStr">
        <is>
          <t>0000100111</t>
        </is>
      </c>
      <c r="C1595" s="3" t="n">
        <v>45999</v>
      </c>
      <c r="D1595" s="3" t="n">
        <v>46044</v>
      </c>
      <c r="E1595" s="4" t="n">
        <v>1448.86</v>
      </c>
      <c r="F1595">
        <f>Summary!$B$3-D1595</f>
        <v/>
      </c>
      <c r="G1595">
        <f>IF(D1595&gt;Summary!$B$3,"Current",IF(F1595&lt;=30,"0-30",IF(F1595&lt;=60,"31-60",IF(F1595&lt;=90,"61-90","90+"))))</f>
        <v/>
      </c>
    </row>
    <row r="1596">
      <c r="A1596" t="inlineStr">
        <is>
          <t>0009028831</t>
        </is>
      </c>
      <c r="B1596" t="inlineStr">
        <is>
          <t>0000100049</t>
        </is>
      </c>
      <c r="C1596" s="3" t="n">
        <v>45997</v>
      </c>
      <c r="D1596" s="3" t="n">
        <v>46027</v>
      </c>
      <c r="E1596" s="4" t="n">
        <v>2282.22</v>
      </c>
      <c r="F1596">
        <f>Summary!$B$3-D1596</f>
        <v/>
      </c>
      <c r="G1596">
        <f>IF(D1596&gt;Summary!$B$3,"Current",IF(F1596&lt;=30,"0-30",IF(F1596&lt;=60,"31-60",IF(F1596&lt;=90,"61-90","90+"))))</f>
        <v/>
      </c>
    </row>
    <row r="1597">
      <c r="A1597" t="inlineStr">
        <is>
          <t>0009028832</t>
        </is>
      </c>
      <c r="B1597" t="inlineStr">
        <is>
          <t>0000100541</t>
        </is>
      </c>
      <c r="C1597" s="3" t="n">
        <v>45994</v>
      </c>
      <c r="D1597" s="3" t="n">
        <v>46039</v>
      </c>
      <c r="E1597" s="4" t="n">
        <v>218.38</v>
      </c>
      <c r="F1597">
        <f>Summary!$B$3-D1597</f>
        <v/>
      </c>
      <c r="G1597">
        <f>IF(D1597&gt;Summary!$B$3,"Current",IF(F1597&lt;=30,"0-30",IF(F1597&lt;=60,"31-60",IF(F1597&lt;=90,"61-90","90+"))))</f>
        <v/>
      </c>
    </row>
    <row r="1598">
      <c r="A1598" t="inlineStr">
        <is>
          <t>0009028833</t>
        </is>
      </c>
      <c r="B1598" t="inlineStr">
        <is>
          <t>0000100364</t>
        </is>
      </c>
      <c r="C1598" s="3" t="n">
        <v>45992</v>
      </c>
      <c r="D1598" s="3" t="n">
        <v>46052</v>
      </c>
      <c r="E1598" s="4" t="n">
        <v>3357.46</v>
      </c>
      <c r="F1598">
        <f>Summary!$B$3-D1598</f>
        <v/>
      </c>
      <c r="G1598">
        <f>IF(D1598&gt;Summary!$B$3,"Current",IF(F1598&lt;=30,"0-30",IF(F1598&lt;=60,"31-60",IF(F1598&lt;=90,"61-90","90+"))))</f>
        <v/>
      </c>
    </row>
    <row r="1599">
      <c r="A1599" t="inlineStr">
        <is>
          <t>0009028834</t>
        </is>
      </c>
      <c r="B1599" t="inlineStr">
        <is>
          <t>0000100217</t>
        </is>
      </c>
      <c r="C1599" s="3" t="n">
        <v>45993</v>
      </c>
      <c r="D1599" s="3" t="n">
        <v>46038</v>
      </c>
      <c r="E1599" s="4" t="n">
        <v>497.4</v>
      </c>
      <c r="F1599">
        <f>Summary!$B$3-D1599</f>
        <v/>
      </c>
      <c r="G1599">
        <f>IF(D1599&gt;Summary!$B$3,"Current",IF(F1599&lt;=30,"0-30",IF(F1599&lt;=60,"31-60",IF(F1599&lt;=90,"61-90","90+"))))</f>
        <v/>
      </c>
    </row>
    <row r="1600">
      <c r="A1600" t="inlineStr">
        <is>
          <t>0009028835</t>
        </is>
      </c>
      <c r="B1600" t="inlineStr">
        <is>
          <t>0000100258</t>
        </is>
      </c>
      <c r="C1600" s="3" t="n">
        <v>45993</v>
      </c>
      <c r="D1600" s="3" t="n">
        <v>46023</v>
      </c>
      <c r="E1600" s="4" t="n">
        <v>1116.95</v>
      </c>
      <c r="F1600">
        <f>Summary!$B$3-D1600</f>
        <v/>
      </c>
      <c r="G1600">
        <f>IF(D1600&gt;Summary!$B$3,"Current",IF(F1600&lt;=30,"0-30",IF(F1600&lt;=60,"31-60",IF(F1600&lt;=90,"61-90","90+"))))</f>
        <v/>
      </c>
    </row>
    <row r="1601">
      <c r="A1601" t="inlineStr">
        <is>
          <t>0009028836</t>
        </is>
      </c>
      <c r="B1601" t="inlineStr">
        <is>
          <t>0000100065</t>
        </is>
      </c>
      <c r="C1601" s="3" t="n">
        <v>45991</v>
      </c>
      <c r="D1601" s="3" t="n">
        <v>46036</v>
      </c>
      <c r="E1601" s="4" t="n">
        <v>1365.79</v>
      </c>
      <c r="F1601">
        <f>Summary!$B$3-D1601</f>
        <v/>
      </c>
      <c r="G1601">
        <f>IF(D1601&gt;Summary!$B$3,"Current",IF(F1601&lt;=30,"0-30",IF(F1601&lt;=60,"31-60",IF(F1601&lt;=90,"61-90","90+"))))</f>
        <v/>
      </c>
    </row>
    <row r="1602">
      <c r="A1602" t="inlineStr">
        <is>
          <t>0009028837</t>
        </is>
      </c>
      <c r="B1602" t="inlineStr">
        <is>
          <t>0000100529</t>
        </is>
      </c>
      <c r="C1602" s="3" t="n">
        <v>45997</v>
      </c>
      <c r="D1602" s="3" t="n">
        <v>46057</v>
      </c>
      <c r="E1602" s="4" t="n">
        <v>66.08</v>
      </c>
      <c r="F1602">
        <f>Summary!$B$3-D1602</f>
        <v/>
      </c>
      <c r="G1602">
        <f>IF(D1602&gt;Summary!$B$3,"Current",IF(F1602&lt;=30,"0-30",IF(F1602&lt;=60,"31-60",IF(F1602&lt;=90,"61-90","90+"))))</f>
        <v/>
      </c>
    </row>
    <row r="1603">
      <c r="A1603" t="inlineStr">
        <is>
          <t>0009028838</t>
        </is>
      </c>
      <c r="B1603" t="inlineStr">
        <is>
          <t>0000100417</t>
        </is>
      </c>
      <c r="C1603" s="3" t="n">
        <v>45997</v>
      </c>
      <c r="D1603" s="3" t="n">
        <v>46057</v>
      </c>
      <c r="E1603" s="4" t="n">
        <v>9308.530000000001</v>
      </c>
      <c r="F1603">
        <f>Summary!$B$3-D1603</f>
        <v/>
      </c>
      <c r="G1603">
        <f>IF(D1603&gt;Summary!$B$3,"Current",IF(F1603&lt;=30,"0-30",IF(F1603&lt;=60,"31-60",IF(F1603&lt;=90,"61-90","90+"))))</f>
        <v/>
      </c>
    </row>
    <row r="1604">
      <c r="A1604" t="inlineStr">
        <is>
          <t>0009028839</t>
        </is>
      </c>
      <c r="B1604" t="inlineStr">
        <is>
          <t>0000100285</t>
        </is>
      </c>
      <c r="C1604" s="3" t="n">
        <v>46000</v>
      </c>
      <c r="D1604" s="3" t="n">
        <v>46030</v>
      </c>
      <c r="E1604" s="4" t="n">
        <v>155.75</v>
      </c>
      <c r="F1604">
        <f>Summary!$B$3-D1604</f>
        <v/>
      </c>
      <c r="G1604">
        <f>IF(D1604&gt;Summary!$B$3,"Current",IF(F1604&lt;=30,"0-30",IF(F1604&lt;=60,"31-60",IF(F1604&lt;=90,"61-90","90+"))))</f>
        <v/>
      </c>
    </row>
    <row r="1605">
      <c r="A1605" t="inlineStr">
        <is>
          <t>0009028840</t>
        </is>
      </c>
      <c r="B1605" t="inlineStr">
        <is>
          <t>0000100164</t>
        </is>
      </c>
      <c r="C1605" s="3" t="n">
        <v>45997</v>
      </c>
      <c r="D1605" s="3" t="n">
        <v>46057</v>
      </c>
      <c r="E1605" s="4" t="n">
        <v>174.81</v>
      </c>
      <c r="F1605">
        <f>Summary!$B$3-D1605</f>
        <v/>
      </c>
      <c r="G1605">
        <f>IF(D1605&gt;Summary!$B$3,"Current",IF(F1605&lt;=30,"0-30",IF(F1605&lt;=60,"31-60",IF(F1605&lt;=90,"61-90","90+"))))</f>
        <v/>
      </c>
    </row>
    <row r="1606">
      <c r="A1606" t="inlineStr">
        <is>
          <t>0009028841</t>
        </is>
      </c>
      <c r="B1606" t="inlineStr">
        <is>
          <t>0000100362</t>
        </is>
      </c>
      <c r="C1606" s="3" t="n">
        <v>45994</v>
      </c>
      <c r="D1606" s="3" t="n">
        <v>46024</v>
      </c>
      <c r="E1606" s="4" t="n">
        <v>246.58</v>
      </c>
      <c r="F1606">
        <f>Summary!$B$3-D1606</f>
        <v/>
      </c>
      <c r="G1606">
        <f>IF(D1606&gt;Summary!$B$3,"Current",IF(F1606&lt;=30,"0-30",IF(F1606&lt;=60,"31-60",IF(F1606&lt;=90,"61-90","90+"))))</f>
        <v/>
      </c>
    </row>
    <row r="1607">
      <c r="A1607" t="inlineStr">
        <is>
          <t>0009028842</t>
        </is>
      </c>
      <c r="B1607" t="inlineStr">
        <is>
          <t>0000100312</t>
        </is>
      </c>
      <c r="C1607" s="3" t="n">
        <v>45993</v>
      </c>
      <c r="D1607" s="3" t="n">
        <v>46053</v>
      </c>
      <c r="E1607" s="4" t="n">
        <v>1113.56</v>
      </c>
      <c r="F1607">
        <f>Summary!$B$3-D1607</f>
        <v/>
      </c>
      <c r="G1607">
        <f>IF(D1607&gt;Summary!$B$3,"Current",IF(F1607&lt;=30,"0-30",IF(F1607&lt;=60,"31-60",IF(F1607&lt;=90,"61-90","90+"))))</f>
        <v/>
      </c>
    </row>
    <row r="1608">
      <c r="A1608" t="inlineStr">
        <is>
          <t>0009028843</t>
        </is>
      </c>
      <c r="B1608" t="inlineStr">
        <is>
          <t>0000100400</t>
        </is>
      </c>
      <c r="C1608" s="3" t="n">
        <v>45991</v>
      </c>
      <c r="D1608" s="3" t="n">
        <v>46021</v>
      </c>
      <c r="E1608" s="4" t="n">
        <v>2615.38</v>
      </c>
      <c r="F1608">
        <f>Summary!$B$3-D1608</f>
        <v/>
      </c>
      <c r="G1608">
        <f>IF(D1608&gt;Summary!$B$3,"Current",IF(F1608&lt;=30,"0-30",IF(F1608&lt;=60,"31-60",IF(F1608&lt;=90,"61-90","90+"))))</f>
        <v/>
      </c>
    </row>
    <row r="1609">
      <c r="A1609" t="inlineStr">
        <is>
          <t>0009028844</t>
        </is>
      </c>
      <c r="B1609" t="inlineStr">
        <is>
          <t>0000100434</t>
        </is>
      </c>
      <c r="C1609" s="3" t="n">
        <v>45994</v>
      </c>
      <c r="D1609" s="3" t="n">
        <v>46024</v>
      </c>
      <c r="E1609" s="4" t="n">
        <v>203.7</v>
      </c>
      <c r="F1609">
        <f>Summary!$B$3-D1609</f>
        <v/>
      </c>
      <c r="G1609">
        <f>IF(D1609&gt;Summary!$B$3,"Current",IF(F1609&lt;=30,"0-30",IF(F1609&lt;=60,"31-60",IF(F1609&lt;=90,"61-90","90+"))))</f>
        <v/>
      </c>
    </row>
    <row r="1610">
      <c r="A1610" t="inlineStr">
        <is>
          <t>0009028845</t>
        </is>
      </c>
      <c r="B1610" t="inlineStr">
        <is>
          <t>0000100571</t>
        </is>
      </c>
      <c r="C1610" s="3" t="n">
        <v>45991</v>
      </c>
      <c r="D1610" s="3" t="n">
        <v>46036</v>
      </c>
      <c r="E1610" s="4" t="n">
        <v>520.08</v>
      </c>
      <c r="F1610">
        <f>Summary!$B$3-D1610</f>
        <v/>
      </c>
      <c r="G1610">
        <f>IF(D1610&gt;Summary!$B$3,"Current",IF(F1610&lt;=30,"0-30",IF(F1610&lt;=60,"31-60",IF(F1610&lt;=90,"61-90","90+"))))</f>
        <v/>
      </c>
    </row>
    <row r="1611">
      <c r="A1611" t="inlineStr">
        <is>
          <t>0009028846</t>
        </is>
      </c>
      <c r="B1611" t="inlineStr">
        <is>
          <t>0000100513</t>
        </is>
      </c>
      <c r="C1611" s="3" t="n">
        <v>45994</v>
      </c>
      <c r="D1611" s="3" t="n">
        <v>46054</v>
      </c>
      <c r="E1611" s="4" t="n">
        <v>1478.07</v>
      </c>
      <c r="F1611">
        <f>Summary!$B$3-D1611</f>
        <v/>
      </c>
      <c r="G1611">
        <f>IF(D1611&gt;Summary!$B$3,"Current",IF(F1611&lt;=30,"0-30",IF(F1611&lt;=60,"31-60",IF(F1611&lt;=90,"61-90","90+"))))</f>
        <v/>
      </c>
    </row>
    <row r="1612">
      <c r="A1612" t="inlineStr">
        <is>
          <t>0009028847</t>
        </is>
      </c>
      <c r="B1612" t="inlineStr">
        <is>
          <t>0000100529</t>
        </is>
      </c>
      <c r="C1612" s="3" t="n">
        <v>45995</v>
      </c>
      <c r="D1612" s="3" t="n">
        <v>46055</v>
      </c>
      <c r="E1612" s="4" t="n">
        <v>463.91</v>
      </c>
      <c r="F1612">
        <f>Summary!$B$3-D1612</f>
        <v/>
      </c>
      <c r="G1612">
        <f>IF(D1612&gt;Summary!$B$3,"Current",IF(F1612&lt;=30,"0-30",IF(F1612&lt;=60,"31-60",IF(F1612&lt;=90,"61-90","90+"))))</f>
        <v/>
      </c>
    </row>
    <row r="1613">
      <c r="A1613" t="inlineStr">
        <is>
          <t>0009028848</t>
        </is>
      </c>
      <c r="B1613" t="inlineStr">
        <is>
          <t>0000100465</t>
        </is>
      </c>
      <c r="C1613" s="3" t="n">
        <v>45995</v>
      </c>
      <c r="D1613" s="3" t="n">
        <v>46055</v>
      </c>
      <c r="E1613" s="4" t="n">
        <v>142.56</v>
      </c>
      <c r="F1613">
        <f>Summary!$B$3-D1613</f>
        <v/>
      </c>
      <c r="G1613">
        <f>IF(D1613&gt;Summary!$B$3,"Current",IF(F1613&lt;=30,"0-30",IF(F1613&lt;=60,"31-60",IF(F1613&lt;=90,"61-90","90+"))))</f>
        <v/>
      </c>
    </row>
    <row r="1614">
      <c r="A1614" t="inlineStr">
        <is>
          <t>0009028849</t>
        </is>
      </c>
      <c r="B1614" t="inlineStr">
        <is>
          <t>0000100525</t>
        </is>
      </c>
      <c r="C1614" s="3" t="n">
        <v>45994</v>
      </c>
      <c r="D1614" s="3" t="n">
        <v>46039</v>
      </c>
      <c r="E1614" s="4" t="n">
        <v>1039.2</v>
      </c>
      <c r="F1614">
        <f>Summary!$B$3-D1614</f>
        <v/>
      </c>
      <c r="G1614">
        <f>IF(D1614&gt;Summary!$B$3,"Current",IF(F1614&lt;=30,"0-30",IF(F1614&lt;=60,"31-60",IF(F1614&lt;=90,"61-90","90+"))))</f>
        <v/>
      </c>
    </row>
    <row r="1615">
      <c r="A1615" t="inlineStr">
        <is>
          <t>0009028850</t>
        </is>
      </c>
      <c r="B1615" t="inlineStr">
        <is>
          <t>0000100274</t>
        </is>
      </c>
      <c r="C1615" s="3" t="n">
        <v>45999</v>
      </c>
      <c r="D1615" s="3" t="n">
        <v>46044</v>
      </c>
      <c r="E1615" s="4" t="n">
        <v>2513.66</v>
      </c>
      <c r="F1615">
        <f>Summary!$B$3-D1615</f>
        <v/>
      </c>
      <c r="G1615">
        <f>IF(D1615&gt;Summary!$B$3,"Current",IF(F1615&lt;=30,"0-30",IF(F1615&lt;=60,"31-60",IF(F1615&lt;=90,"61-90","90+"))))</f>
        <v/>
      </c>
    </row>
    <row r="1616">
      <c r="A1616" t="inlineStr">
        <is>
          <t>0009028851</t>
        </is>
      </c>
      <c r="B1616" t="inlineStr">
        <is>
          <t>0000100115</t>
        </is>
      </c>
      <c r="C1616" s="3" t="n">
        <v>45996</v>
      </c>
      <c r="D1616" s="3" t="n">
        <v>46026</v>
      </c>
      <c r="E1616" s="4" t="n">
        <v>1075.1</v>
      </c>
      <c r="F1616">
        <f>Summary!$B$3-D1616</f>
        <v/>
      </c>
      <c r="G1616">
        <f>IF(D1616&gt;Summary!$B$3,"Current",IF(F1616&lt;=30,"0-30",IF(F1616&lt;=60,"31-60",IF(F1616&lt;=90,"61-90","90+"))))</f>
        <v/>
      </c>
    </row>
    <row r="1617">
      <c r="A1617" t="inlineStr">
        <is>
          <t>0009028852</t>
        </is>
      </c>
      <c r="B1617" t="inlineStr">
        <is>
          <t>0000100064</t>
        </is>
      </c>
      <c r="C1617" s="3" t="n">
        <v>45994</v>
      </c>
      <c r="D1617" s="3" t="n">
        <v>46024</v>
      </c>
      <c r="E1617" s="4" t="n">
        <v>127.5</v>
      </c>
      <c r="F1617">
        <f>Summary!$B$3-D1617</f>
        <v/>
      </c>
      <c r="G1617">
        <f>IF(D1617&gt;Summary!$B$3,"Current",IF(F1617&lt;=30,"0-30",IF(F1617&lt;=60,"31-60",IF(F1617&lt;=90,"61-90","90+"))))</f>
        <v/>
      </c>
    </row>
    <row r="1618">
      <c r="A1618" t="inlineStr">
        <is>
          <t>0009028853</t>
        </is>
      </c>
      <c r="B1618" t="inlineStr">
        <is>
          <t>0000100456</t>
        </is>
      </c>
      <c r="C1618" s="3" t="n">
        <v>45994</v>
      </c>
      <c r="D1618" s="3" t="n">
        <v>46054</v>
      </c>
      <c r="E1618" s="4" t="n">
        <v>889.85</v>
      </c>
      <c r="F1618">
        <f>Summary!$B$3-D1618</f>
        <v/>
      </c>
      <c r="G1618">
        <f>IF(D1618&gt;Summary!$B$3,"Current",IF(F1618&lt;=30,"0-30",IF(F1618&lt;=60,"31-60",IF(F1618&lt;=90,"61-90","90+"))))</f>
        <v/>
      </c>
    </row>
    <row r="1619">
      <c r="A1619" t="inlineStr">
        <is>
          <t>0009028854</t>
        </is>
      </c>
      <c r="B1619" t="inlineStr">
        <is>
          <t>0000100094</t>
        </is>
      </c>
      <c r="C1619" s="3" t="n">
        <v>45996</v>
      </c>
      <c r="D1619" s="3" t="n">
        <v>46056</v>
      </c>
      <c r="E1619" s="4" t="n">
        <v>131.46</v>
      </c>
      <c r="F1619">
        <f>Summary!$B$3-D1619</f>
        <v/>
      </c>
      <c r="G1619">
        <f>IF(D1619&gt;Summary!$B$3,"Current",IF(F1619&lt;=30,"0-30",IF(F1619&lt;=60,"31-60",IF(F1619&lt;=90,"61-90","90+"))))</f>
        <v/>
      </c>
    </row>
    <row r="1620">
      <c r="A1620" t="inlineStr">
        <is>
          <t>0009028855</t>
        </is>
      </c>
      <c r="B1620" t="inlineStr">
        <is>
          <t>0000100360</t>
        </is>
      </c>
      <c r="C1620" s="3" t="n">
        <v>45999</v>
      </c>
      <c r="D1620" s="3" t="n">
        <v>46044</v>
      </c>
      <c r="E1620" s="4" t="n">
        <v>861.41</v>
      </c>
      <c r="F1620">
        <f>Summary!$B$3-D1620</f>
        <v/>
      </c>
      <c r="G1620">
        <f>IF(D1620&gt;Summary!$B$3,"Current",IF(F1620&lt;=30,"0-30",IF(F1620&lt;=60,"31-60",IF(F1620&lt;=90,"61-90","90+"))))</f>
        <v/>
      </c>
    </row>
    <row r="1621">
      <c r="A1621" t="inlineStr">
        <is>
          <t>0009028857</t>
        </is>
      </c>
      <c r="B1621" t="inlineStr">
        <is>
          <t>0000100097</t>
        </is>
      </c>
      <c r="C1621" s="3" t="n">
        <v>45998</v>
      </c>
      <c r="D1621" s="3" t="n">
        <v>46043</v>
      </c>
      <c r="E1621" s="4" t="n">
        <v>357.18</v>
      </c>
      <c r="F1621">
        <f>Summary!$B$3-D1621</f>
        <v/>
      </c>
      <c r="G1621">
        <f>IF(D1621&gt;Summary!$B$3,"Current",IF(F1621&lt;=30,"0-30",IF(F1621&lt;=60,"31-60",IF(F1621&lt;=90,"61-90","90+"))))</f>
        <v/>
      </c>
    </row>
    <row r="1622">
      <c r="A1622" t="inlineStr">
        <is>
          <t>0009028858</t>
        </is>
      </c>
      <c r="B1622" t="inlineStr">
        <is>
          <t>0000100174</t>
        </is>
      </c>
      <c r="C1622" s="3" t="n">
        <v>45997</v>
      </c>
      <c r="D1622" s="3" t="n">
        <v>46027</v>
      </c>
      <c r="E1622" s="4" t="n">
        <v>335.04</v>
      </c>
      <c r="F1622">
        <f>Summary!$B$3-D1622</f>
        <v/>
      </c>
      <c r="G1622">
        <f>IF(D1622&gt;Summary!$B$3,"Current",IF(F1622&lt;=30,"0-30",IF(F1622&lt;=60,"31-60",IF(F1622&lt;=90,"61-90","90+"))))</f>
        <v/>
      </c>
    </row>
    <row r="1623">
      <c r="A1623" t="inlineStr">
        <is>
          <t>0009028859</t>
        </is>
      </c>
      <c r="B1623" t="inlineStr">
        <is>
          <t>0000100465</t>
        </is>
      </c>
      <c r="C1623" s="3" t="n">
        <v>46001</v>
      </c>
      <c r="D1623" s="3" t="n">
        <v>46061</v>
      </c>
      <c r="E1623" s="4" t="n">
        <v>1424.55</v>
      </c>
      <c r="F1623">
        <f>Summary!$B$3-D1623</f>
        <v/>
      </c>
      <c r="G1623">
        <f>IF(D1623&gt;Summary!$B$3,"Current",IF(F1623&lt;=30,"0-30",IF(F1623&lt;=60,"31-60",IF(F1623&lt;=90,"61-90","90+"))))</f>
        <v/>
      </c>
    </row>
    <row r="1624">
      <c r="A1624" t="inlineStr">
        <is>
          <t>0009028860</t>
        </is>
      </c>
      <c r="B1624" t="inlineStr">
        <is>
          <t>0000100064</t>
        </is>
      </c>
      <c r="C1624" s="3" t="n">
        <v>45993</v>
      </c>
      <c r="D1624" s="3" t="n">
        <v>46023</v>
      </c>
      <c r="E1624" s="4" t="n">
        <v>2469.15</v>
      </c>
      <c r="F1624">
        <f>Summary!$B$3-D1624</f>
        <v/>
      </c>
      <c r="G1624">
        <f>IF(D1624&gt;Summary!$B$3,"Current",IF(F1624&lt;=30,"0-30",IF(F1624&lt;=60,"31-60",IF(F1624&lt;=90,"61-90","90+"))))</f>
        <v/>
      </c>
    </row>
    <row r="1625">
      <c r="A1625" t="inlineStr">
        <is>
          <t>0009028861</t>
        </is>
      </c>
      <c r="B1625" t="inlineStr">
        <is>
          <t>0000100268</t>
        </is>
      </c>
      <c r="C1625" s="3" t="n">
        <v>45995</v>
      </c>
      <c r="D1625" s="3" t="n">
        <v>46025</v>
      </c>
      <c r="E1625" s="4" t="n">
        <v>796.89</v>
      </c>
      <c r="F1625">
        <f>Summary!$B$3-D1625</f>
        <v/>
      </c>
      <c r="G1625">
        <f>IF(D1625&gt;Summary!$B$3,"Current",IF(F1625&lt;=30,"0-30",IF(F1625&lt;=60,"31-60",IF(F1625&lt;=90,"61-90","90+"))))</f>
        <v/>
      </c>
    </row>
    <row r="1626">
      <c r="A1626" t="inlineStr">
        <is>
          <t>0009028862</t>
        </is>
      </c>
      <c r="B1626" t="inlineStr">
        <is>
          <t>0000100097</t>
        </is>
      </c>
      <c r="C1626" s="3" t="n">
        <v>45999</v>
      </c>
      <c r="D1626" s="3" t="n">
        <v>46044</v>
      </c>
      <c r="E1626" s="4" t="n">
        <v>3770.72</v>
      </c>
      <c r="F1626">
        <f>Summary!$B$3-D1626</f>
        <v/>
      </c>
      <c r="G1626">
        <f>IF(D1626&gt;Summary!$B$3,"Current",IF(F1626&lt;=30,"0-30",IF(F1626&lt;=60,"31-60",IF(F1626&lt;=90,"61-90","90+"))))</f>
        <v/>
      </c>
    </row>
    <row r="1627">
      <c r="A1627" t="inlineStr">
        <is>
          <t>0009028863</t>
        </is>
      </c>
      <c r="B1627" t="inlineStr">
        <is>
          <t>0000100219</t>
        </is>
      </c>
      <c r="C1627" s="3" t="n">
        <v>46011</v>
      </c>
      <c r="D1627" s="3" t="n">
        <v>46041</v>
      </c>
      <c r="E1627" s="4" t="n">
        <v>653.14</v>
      </c>
      <c r="F1627">
        <f>Summary!$B$3-D1627</f>
        <v/>
      </c>
      <c r="G1627">
        <f>IF(D1627&gt;Summary!$B$3,"Current",IF(F1627&lt;=30,"0-30",IF(F1627&lt;=60,"31-60",IF(F1627&lt;=90,"61-90","90+"))))</f>
        <v/>
      </c>
    </row>
    <row r="1628">
      <c r="A1628" t="inlineStr">
        <is>
          <t>0009028864</t>
        </is>
      </c>
      <c r="B1628" t="inlineStr">
        <is>
          <t>0000100285</t>
        </is>
      </c>
      <c r="C1628" s="3" t="n">
        <v>45999</v>
      </c>
      <c r="D1628" s="3" t="n">
        <v>46029</v>
      </c>
      <c r="E1628" s="4" t="n">
        <v>958.61</v>
      </c>
      <c r="F1628">
        <f>Summary!$B$3-D1628</f>
        <v/>
      </c>
      <c r="G1628">
        <f>IF(D1628&gt;Summary!$B$3,"Current",IF(F1628&lt;=30,"0-30",IF(F1628&lt;=60,"31-60",IF(F1628&lt;=90,"61-90","90+"))))</f>
        <v/>
      </c>
    </row>
    <row r="1629">
      <c r="A1629" t="inlineStr">
        <is>
          <t>0009028865</t>
        </is>
      </c>
      <c r="B1629" t="inlineStr">
        <is>
          <t>0000100169</t>
        </is>
      </c>
      <c r="C1629" s="3" t="n">
        <v>46000</v>
      </c>
      <c r="D1629" s="3" t="n">
        <v>46045</v>
      </c>
      <c r="E1629" s="4" t="n">
        <v>531.77</v>
      </c>
      <c r="F1629">
        <f>Summary!$B$3-D1629</f>
        <v/>
      </c>
      <c r="G1629">
        <f>IF(D1629&gt;Summary!$B$3,"Current",IF(F1629&lt;=30,"0-30",IF(F1629&lt;=60,"31-60",IF(F1629&lt;=90,"61-90","90+"))))</f>
        <v/>
      </c>
    </row>
    <row r="1630">
      <c r="A1630" t="inlineStr">
        <is>
          <t>0009028866</t>
        </is>
      </c>
      <c r="B1630" t="inlineStr">
        <is>
          <t>0000100074</t>
        </is>
      </c>
      <c r="C1630" s="3" t="n">
        <v>45995</v>
      </c>
      <c r="D1630" s="3" t="n">
        <v>46040</v>
      </c>
      <c r="E1630" s="4" t="n">
        <v>2989.62</v>
      </c>
      <c r="F1630">
        <f>Summary!$B$3-D1630</f>
        <v/>
      </c>
      <c r="G1630">
        <f>IF(D1630&gt;Summary!$B$3,"Current",IF(F1630&lt;=30,"0-30",IF(F1630&lt;=60,"31-60",IF(F1630&lt;=90,"61-90","90+"))))</f>
        <v/>
      </c>
    </row>
    <row r="1631">
      <c r="A1631" t="inlineStr">
        <is>
          <t>0009028867</t>
        </is>
      </c>
      <c r="B1631" t="inlineStr">
        <is>
          <t>0000100593</t>
        </is>
      </c>
      <c r="C1631" s="3" t="n">
        <v>45999</v>
      </c>
      <c r="D1631" s="3" t="n">
        <v>46059</v>
      </c>
      <c r="E1631" s="4" t="n">
        <v>389.3</v>
      </c>
      <c r="F1631">
        <f>Summary!$B$3-D1631</f>
        <v/>
      </c>
      <c r="G1631">
        <f>IF(D1631&gt;Summary!$B$3,"Current",IF(F1631&lt;=30,"0-30",IF(F1631&lt;=60,"31-60",IF(F1631&lt;=90,"61-90","90+"))))</f>
        <v/>
      </c>
    </row>
    <row r="1632">
      <c r="A1632" t="inlineStr">
        <is>
          <t>0009028868</t>
        </is>
      </c>
      <c r="B1632" t="inlineStr">
        <is>
          <t>0000100484</t>
        </is>
      </c>
      <c r="C1632" s="3" t="n">
        <v>46001</v>
      </c>
      <c r="D1632" s="3" t="n">
        <v>46061</v>
      </c>
      <c r="E1632" s="4" t="n">
        <v>394.99</v>
      </c>
      <c r="F1632">
        <f>Summary!$B$3-D1632</f>
        <v/>
      </c>
      <c r="G1632">
        <f>IF(D1632&gt;Summary!$B$3,"Current",IF(F1632&lt;=30,"0-30",IF(F1632&lt;=60,"31-60",IF(F1632&lt;=90,"61-90","90+"))))</f>
        <v/>
      </c>
    </row>
    <row r="1633">
      <c r="A1633" t="inlineStr">
        <is>
          <t>0009028869</t>
        </is>
      </c>
      <c r="B1633" t="inlineStr">
        <is>
          <t>0000100424</t>
        </is>
      </c>
      <c r="C1633" s="3" t="n">
        <v>45998</v>
      </c>
      <c r="D1633" s="3" t="n">
        <v>46043</v>
      </c>
      <c r="E1633" s="4" t="n">
        <v>605.12</v>
      </c>
      <c r="F1633">
        <f>Summary!$B$3-D1633</f>
        <v/>
      </c>
      <c r="G1633">
        <f>IF(D1633&gt;Summary!$B$3,"Current",IF(F1633&lt;=30,"0-30",IF(F1633&lt;=60,"31-60",IF(F1633&lt;=90,"61-90","90+"))))</f>
        <v/>
      </c>
    </row>
    <row r="1634">
      <c r="A1634" t="inlineStr">
        <is>
          <t>0009028870</t>
        </is>
      </c>
      <c r="B1634" t="inlineStr">
        <is>
          <t>0000100016</t>
        </is>
      </c>
      <c r="C1634" s="3" t="n">
        <v>45993</v>
      </c>
      <c r="D1634" s="3" t="n">
        <v>46038</v>
      </c>
      <c r="E1634" s="4" t="n">
        <v>513.72</v>
      </c>
      <c r="F1634">
        <f>Summary!$B$3-D1634</f>
        <v/>
      </c>
      <c r="G1634">
        <f>IF(D1634&gt;Summary!$B$3,"Current",IF(F1634&lt;=30,"0-30",IF(F1634&lt;=60,"31-60",IF(F1634&lt;=90,"61-90","90+"))))</f>
        <v/>
      </c>
    </row>
    <row r="1635">
      <c r="A1635" t="inlineStr">
        <is>
          <t>0009028871</t>
        </is>
      </c>
      <c r="B1635" t="inlineStr">
        <is>
          <t>0000100106</t>
        </is>
      </c>
      <c r="C1635" s="3" t="n">
        <v>45996</v>
      </c>
      <c r="D1635" s="3" t="n">
        <v>46041</v>
      </c>
      <c r="E1635" s="4" t="n">
        <v>91.45</v>
      </c>
      <c r="F1635">
        <f>Summary!$B$3-D1635</f>
        <v/>
      </c>
      <c r="G1635">
        <f>IF(D1635&gt;Summary!$B$3,"Current",IF(F1635&lt;=30,"0-30",IF(F1635&lt;=60,"31-60",IF(F1635&lt;=90,"61-90","90+"))))</f>
        <v/>
      </c>
    </row>
    <row r="1636">
      <c r="A1636" t="inlineStr">
        <is>
          <t>0009028872</t>
        </is>
      </c>
      <c r="B1636" t="inlineStr">
        <is>
          <t>0000100441</t>
        </is>
      </c>
      <c r="C1636" s="3" t="n">
        <v>45999</v>
      </c>
      <c r="D1636" s="3" t="n">
        <v>46044</v>
      </c>
      <c r="E1636" s="4" t="n">
        <v>747.99</v>
      </c>
      <c r="F1636">
        <f>Summary!$B$3-D1636</f>
        <v/>
      </c>
      <c r="G1636">
        <f>IF(D1636&gt;Summary!$B$3,"Current",IF(F1636&lt;=30,"0-30",IF(F1636&lt;=60,"31-60",IF(F1636&lt;=90,"61-90","90+"))))</f>
        <v/>
      </c>
    </row>
    <row r="1637">
      <c r="A1637" t="inlineStr">
        <is>
          <t>0009028873</t>
        </is>
      </c>
      <c r="B1637" t="inlineStr">
        <is>
          <t>0000100338</t>
        </is>
      </c>
      <c r="C1637" s="3" t="n">
        <v>45994</v>
      </c>
      <c r="D1637" s="3" t="n">
        <v>46054</v>
      </c>
      <c r="E1637" s="4" t="n">
        <v>310.8</v>
      </c>
      <c r="F1637">
        <f>Summary!$B$3-D1637</f>
        <v/>
      </c>
      <c r="G1637">
        <f>IF(D1637&gt;Summary!$B$3,"Current",IF(F1637&lt;=30,"0-30",IF(F1637&lt;=60,"31-60",IF(F1637&lt;=90,"61-90","90+"))))</f>
        <v/>
      </c>
    </row>
    <row r="1638">
      <c r="A1638" t="inlineStr">
        <is>
          <t>0009028875</t>
        </is>
      </c>
      <c r="B1638" t="inlineStr">
        <is>
          <t>0000100386</t>
        </is>
      </c>
      <c r="C1638" s="3" t="n">
        <v>45999</v>
      </c>
      <c r="D1638" s="3" t="n">
        <v>46029</v>
      </c>
      <c r="E1638" s="4" t="n">
        <v>58.11</v>
      </c>
      <c r="F1638">
        <f>Summary!$B$3-D1638</f>
        <v/>
      </c>
      <c r="G1638">
        <f>IF(D1638&gt;Summary!$B$3,"Current",IF(F1638&lt;=30,"0-30",IF(F1638&lt;=60,"31-60",IF(F1638&lt;=90,"61-90","90+"))))</f>
        <v/>
      </c>
    </row>
    <row r="1639">
      <c r="A1639" t="inlineStr">
        <is>
          <t>0009028876</t>
        </is>
      </c>
      <c r="B1639" t="inlineStr">
        <is>
          <t>0000100121</t>
        </is>
      </c>
      <c r="C1639" s="3" t="n">
        <v>45994</v>
      </c>
      <c r="D1639" s="3" t="n">
        <v>46024</v>
      </c>
      <c r="E1639" s="4" t="n">
        <v>309.37</v>
      </c>
      <c r="F1639">
        <f>Summary!$B$3-D1639</f>
        <v/>
      </c>
      <c r="G1639">
        <f>IF(D1639&gt;Summary!$B$3,"Current",IF(F1639&lt;=30,"0-30",IF(F1639&lt;=60,"31-60",IF(F1639&lt;=90,"61-90","90+"))))</f>
        <v/>
      </c>
    </row>
    <row r="1640">
      <c r="A1640" t="inlineStr">
        <is>
          <t>0009028877</t>
        </is>
      </c>
      <c r="B1640" t="inlineStr">
        <is>
          <t>0000100097</t>
        </is>
      </c>
      <c r="C1640" s="3" t="n">
        <v>45996</v>
      </c>
      <c r="D1640" s="3" t="n">
        <v>46041</v>
      </c>
      <c r="E1640" s="4" t="n">
        <v>352.34</v>
      </c>
      <c r="F1640">
        <f>Summary!$B$3-D1640</f>
        <v/>
      </c>
      <c r="G1640">
        <f>IF(D1640&gt;Summary!$B$3,"Current",IF(F1640&lt;=30,"0-30",IF(F1640&lt;=60,"31-60",IF(F1640&lt;=90,"61-90","90+"))))</f>
        <v/>
      </c>
    </row>
    <row r="1641">
      <c r="A1641" t="inlineStr">
        <is>
          <t>0009028878</t>
        </is>
      </c>
      <c r="B1641" t="inlineStr">
        <is>
          <t>0000100591</t>
        </is>
      </c>
      <c r="C1641" s="3" t="n">
        <v>45996</v>
      </c>
      <c r="D1641" s="3" t="n">
        <v>46026</v>
      </c>
      <c r="E1641" s="4" t="n">
        <v>4554.33</v>
      </c>
      <c r="F1641">
        <f>Summary!$B$3-D1641</f>
        <v/>
      </c>
      <c r="G1641">
        <f>IF(D1641&gt;Summary!$B$3,"Current",IF(F1641&lt;=30,"0-30",IF(F1641&lt;=60,"31-60",IF(F1641&lt;=90,"61-90","90+"))))</f>
        <v/>
      </c>
    </row>
    <row r="1642">
      <c r="A1642" t="inlineStr">
        <is>
          <t>0009028879</t>
        </is>
      </c>
      <c r="B1642" t="inlineStr">
        <is>
          <t>0000100587</t>
        </is>
      </c>
      <c r="C1642" s="3" t="n">
        <v>45999</v>
      </c>
      <c r="D1642" s="3" t="n">
        <v>46059</v>
      </c>
      <c r="E1642" s="4" t="n">
        <v>466.07</v>
      </c>
      <c r="F1642">
        <f>Summary!$B$3-D1642</f>
        <v/>
      </c>
      <c r="G1642">
        <f>IF(D1642&gt;Summary!$B$3,"Current",IF(F1642&lt;=30,"0-30",IF(F1642&lt;=60,"31-60",IF(F1642&lt;=90,"61-90","90+"))))</f>
        <v/>
      </c>
    </row>
    <row r="1643">
      <c r="A1643" t="inlineStr">
        <is>
          <t>0009028881</t>
        </is>
      </c>
      <c r="B1643" t="inlineStr">
        <is>
          <t>0000100444</t>
        </is>
      </c>
      <c r="C1643" s="3" t="n">
        <v>46000</v>
      </c>
      <c r="D1643" s="3" t="n">
        <v>46030</v>
      </c>
      <c r="E1643" s="4" t="n">
        <v>828.1900000000001</v>
      </c>
      <c r="F1643">
        <f>Summary!$B$3-D1643</f>
        <v/>
      </c>
      <c r="G1643">
        <f>IF(D1643&gt;Summary!$B$3,"Current",IF(F1643&lt;=30,"0-30",IF(F1643&lt;=60,"31-60",IF(F1643&lt;=90,"61-90","90+"))))</f>
        <v/>
      </c>
    </row>
    <row r="1644">
      <c r="A1644" t="inlineStr">
        <is>
          <t>0009028882</t>
        </is>
      </c>
      <c r="B1644" t="inlineStr">
        <is>
          <t>0000100545</t>
        </is>
      </c>
      <c r="C1644" s="3" t="n">
        <v>45993</v>
      </c>
      <c r="D1644" s="3" t="n">
        <v>46023</v>
      </c>
      <c r="E1644" s="4" t="n">
        <v>423.54</v>
      </c>
      <c r="F1644">
        <f>Summary!$B$3-D1644</f>
        <v/>
      </c>
      <c r="G1644">
        <f>IF(D1644&gt;Summary!$B$3,"Current",IF(F1644&lt;=30,"0-30",IF(F1644&lt;=60,"31-60",IF(F1644&lt;=90,"61-90","90+"))))</f>
        <v/>
      </c>
    </row>
    <row r="1645">
      <c r="A1645" t="inlineStr">
        <is>
          <t>0009028884</t>
        </is>
      </c>
      <c r="B1645" t="inlineStr">
        <is>
          <t>0000100274</t>
        </is>
      </c>
      <c r="C1645" s="3" t="n">
        <v>45996</v>
      </c>
      <c r="D1645" s="3" t="n">
        <v>46041</v>
      </c>
      <c r="E1645" s="4" t="n">
        <v>269.5</v>
      </c>
      <c r="F1645">
        <f>Summary!$B$3-D1645</f>
        <v/>
      </c>
      <c r="G1645">
        <f>IF(D1645&gt;Summary!$B$3,"Current",IF(F1645&lt;=30,"0-30",IF(F1645&lt;=60,"31-60",IF(F1645&lt;=90,"61-90","90+"))))</f>
        <v/>
      </c>
    </row>
    <row r="1646">
      <c r="A1646" t="inlineStr">
        <is>
          <t>0009028885</t>
        </is>
      </c>
      <c r="B1646" t="inlineStr">
        <is>
          <t>0000100145</t>
        </is>
      </c>
      <c r="C1646" s="3" t="n">
        <v>45998</v>
      </c>
      <c r="D1646" s="3" t="n">
        <v>46028</v>
      </c>
      <c r="E1646" s="4" t="n">
        <v>68.95999999999999</v>
      </c>
      <c r="F1646">
        <f>Summary!$B$3-D1646</f>
        <v/>
      </c>
      <c r="G1646">
        <f>IF(D1646&gt;Summary!$B$3,"Current",IF(F1646&lt;=30,"0-30",IF(F1646&lt;=60,"31-60",IF(F1646&lt;=90,"61-90","90+"))))</f>
        <v/>
      </c>
    </row>
    <row r="1647">
      <c r="A1647" t="inlineStr">
        <is>
          <t>0009028886</t>
        </is>
      </c>
      <c r="B1647" t="inlineStr">
        <is>
          <t>0000100244</t>
        </is>
      </c>
      <c r="C1647" s="3" t="n">
        <v>45994</v>
      </c>
      <c r="D1647" s="3" t="n">
        <v>46024</v>
      </c>
      <c r="E1647" s="4" t="n">
        <v>3796.99</v>
      </c>
      <c r="F1647">
        <f>Summary!$B$3-D1647</f>
        <v/>
      </c>
      <c r="G1647">
        <f>IF(D1647&gt;Summary!$B$3,"Current",IF(F1647&lt;=30,"0-30",IF(F1647&lt;=60,"31-60",IF(F1647&lt;=90,"61-90","90+"))))</f>
        <v/>
      </c>
    </row>
    <row r="1648">
      <c r="A1648" t="inlineStr">
        <is>
          <t>0009028887</t>
        </is>
      </c>
      <c r="B1648" t="inlineStr">
        <is>
          <t>0000100417</t>
        </is>
      </c>
      <c r="C1648" s="3" t="n">
        <v>45992</v>
      </c>
      <c r="D1648" s="3" t="n">
        <v>46052</v>
      </c>
      <c r="E1648" s="4" t="n">
        <v>3074.69</v>
      </c>
      <c r="F1648">
        <f>Summary!$B$3-D1648</f>
        <v/>
      </c>
      <c r="G1648">
        <f>IF(D1648&gt;Summary!$B$3,"Current",IF(F1648&lt;=30,"0-30",IF(F1648&lt;=60,"31-60",IF(F1648&lt;=90,"61-90","90+"))))</f>
        <v/>
      </c>
    </row>
    <row r="1649">
      <c r="A1649" t="inlineStr">
        <is>
          <t>0009028888</t>
        </is>
      </c>
      <c r="B1649" t="inlineStr">
        <is>
          <t>0000100377</t>
        </is>
      </c>
      <c r="C1649" s="3" t="n">
        <v>45999</v>
      </c>
      <c r="D1649" s="3" t="n">
        <v>46029</v>
      </c>
      <c r="E1649" s="4" t="n">
        <v>1782.3</v>
      </c>
      <c r="F1649">
        <f>Summary!$B$3-D1649</f>
        <v/>
      </c>
      <c r="G1649">
        <f>IF(D1649&gt;Summary!$B$3,"Current",IF(F1649&lt;=30,"0-30",IF(F1649&lt;=60,"31-60",IF(F1649&lt;=90,"61-90","90+"))))</f>
        <v/>
      </c>
    </row>
    <row r="1650">
      <c r="A1650" t="inlineStr">
        <is>
          <t>0009028889</t>
        </is>
      </c>
      <c r="B1650" t="inlineStr">
        <is>
          <t>0000100192</t>
        </is>
      </c>
      <c r="C1650" s="3" t="n">
        <v>46000</v>
      </c>
      <c r="D1650" s="3" t="n">
        <v>46030</v>
      </c>
      <c r="E1650" s="4" t="n">
        <v>382.24</v>
      </c>
      <c r="F1650">
        <f>Summary!$B$3-D1650</f>
        <v/>
      </c>
      <c r="G1650">
        <f>IF(D1650&gt;Summary!$B$3,"Current",IF(F1650&lt;=30,"0-30",IF(F1650&lt;=60,"31-60",IF(F1650&lt;=90,"61-90","90+"))))</f>
        <v/>
      </c>
    </row>
    <row r="1651">
      <c r="A1651" t="inlineStr">
        <is>
          <t>0009028890</t>
        </is>
      </c>
      <c r="B1651" t="inlineStr">
        <is>
          <t>0000100416</t>
        </is>
      </c>
      <c r="C1651" s="3" t="n">
        <v>46000</v>
      </c>
      <c r="D1651" s="3" t="n">
        <v>46045</v>
      </c>
      <c r="E1651" s="4" t="n">
        <v>35.7</v>
      </c>
      <c r="F1651">
        <f>Summary!$B$3-D1651</f>
        <v/>
      </c>
      <c r="G1651">
        <f>IF(D1651&gt;Summary!$B$3,"Current",IF(F1651&lt;=30,"0-30",IF(F1651&lt;=60,"31-60",IF(F1651&lt;=90,"61-90","90+"))))</f>
        <v/>
      </c>
    </row>
    <row r="1652">
      <c r="A1652" t="inlineStr">
        <is>
          <t>0009028891</t>
        </is>
      </c>
      <c r="B1652" t="inlineStr">
        <is>
          <t>0000100262</t>
        </is>
      </c>
      <c r="C1652" s="3" t="n">
        <v>45993</v>
      </c>
      <c r="D1652" s="3" t="n">
        <v>46038</v>
      </c>
      <c r="E1652" s="4" t="n">
        <v>869.12</v>
      </c>
      <c r="F1652">
        <f>Summary!$B$3-D1652</f>
        <v/>
      </c>
      <c r="G1652">
        <f>IF(D1652&gt;Summary!$B$3,"Current",IF(F1652&lt;=30,"0-30",IF(F1652&lt;=60,"31-60",IF(F1652&lt;=90,"61-90","90+"))))</f>
        <v/>
      </c>
    </row>
    <row r="1653">
      <c r="A1653" t="inlineStr">
        <is>
          <t>0009028892</t>
        </is>
      </c>
      <c r="B1653" t="inlineStr">
        <is>
          <t>0000100529</t>
        </is>
      </c>
      <c r="C1653" s="3" t="n">
        <v>45998</v>
      </c>
      <c r="D1653" s="3" t="n">
        <v>46058</v>
      </c>
      <c r="E1653" s="4" t="n">
        <v>545.33</v>
      </c>
      <c r="F1653">
        <f>Summary!$B$3-D1653</f>
        <v/>
      </c>
      <c r="G1653">
        <f>IF(D1653&gt;Summary!$B$3,"Current",IF(F1653&lt;=30,"0-30",IF(F1653&lt;=60,"31-60",IF(F1653&lt;=90,"61-90","90+"))))</f>
        <v/>
      </c>
    </row>
    <row r="1654">
      <c r="A1654" t="inlineStr">
        <is>
          <t>0009028893</t>
        </is>
      </c>
      <c r="B1654" t="inlineStr">
        <is>
          <t>0000100268</t>
        </is>
      </c>
      <c r="C1654" s="3" t="n">
        <v>45997</v>
      </c>
      <c r="D1654" s="3" t="n">
        <v>46027</v>
      </c>
      <c r="E1654" s="4" t="n">
        <v>46.85</v>
      </c>
      <c r="F1654">
        <f>Summary!$B$3-D1654</f>
        <v/>
      </c>
      <c r="G1654">
        <f>IF(D1654&gt;Summary!$B$3,"Current",IF(F1654&lt;=30,"0-30",IF(F1654&lt;=60,"31-60",IF(F1654&lt;=90,"61-90","90+"))))</f>
        <v/>
      </c>
    </row>
    <row r="1655">
      <c r="A1655" t="inlineStr">
        <is>
          <t>0009028894</t>
        </is>
      </c>
      <c r="B1655" t="inlineStr">
        <is>
          <t>0000100416</t>
        </is>
      </c>
      <c r="C1655" s="3" t="n">
        <v>46006</v>
      </c>
      <c r="D1655" s="3" t="n">
        <v>46051</v>
      </c>
      <c r="E1655" s="4" t="n">
        <v>819.62</v>
      </c>
      <c r="F1655">
        <f>Summary!$B$3-D1655</f>
        <v/>
      </c>
      <c r="G1655">
        <f>IF(D1655&gt;Summary!$B$3,"Current",IF(F1655&lt;=30,"0-30",IF(F1655&lt;=60,"31-60",IF(F1655&lt;=90,"61-90","90+"))))</f>
        <v/>
      </c>
    </row>
    <row r="1656">
      <c r="A1656" t="inlineStr">
        <is>
          <t>0009028895</t>
        </is>
      </c>
      <c r="B1656" t="inlineStr">
        <is>
          <t>0000100272</t>
        </is>
      </c>
      <c r="C1656" s="3" t="n">
        <v>46002</v>
      </c>
      <c r="D1656" s="3" t="n">
        <v>46062</v>
      </c>
      <c r="E1656" s="4" t="n">
        <v>389.82</v>
      </c>
      <c r="F1656">
        <f>Summary!$B$3-D1656</f>
        <v/>
      </c>
      <c r="G1656">
        <f>IF(D1656&gt;Summary!$B$3,"Current",IF(F1656&lt;=30,"0-30",IF(F1656&lt;=60,"31-60",IF(F1656&lt;=90,"61-90","90+"))))</f>
        <v/>
      </c>
    </row>
    <row r="1657">
      <c r="A1657" t="inlineStr">
        <is>
          <t>0009028896</t>
        </is>
      </c>
      <c r="B1657" t="inlineStr">
        <is>
          <t>0000100285</t>
        </is>
      </c>
      <c r="C1657" s="3" t="n">
        <v>45996</v>
      </c>
      <c r="D1657" s="3" t="n">
        <v>46026</v>
      </c>
      <c r="E1657" s="4" t="n">
        <v>316.94</v>
      </c>
      <c r="F1657">
        <f>Summary!$B$3-D1657</f>
        <v/>
      </c>
      <c r="G1657">
        <f>IF(D1657&gt;Summary!$B$3,"Current",IF(F1657&lt;=30,"0-30",IF(F1657&lt;=60,"31-60",IF(F1657&lt;=90,"61-90","90+"))))</f>
        <v/>
      </c>
    </row>
    <row r="1658">
      <c r="A1658" t="inlineStr">
        <is>
          <t>0009028897</t>
        </is>
      </c>
      <c r="B1658" t="inlineStr">
        <is>
          <t>0000100279</t>
        </is>
      </c>
      <c r="C1658" s="3" t="n">
        <v>46002</v>
      </c>
      <c r="D1658" s="3" t="n">
        <v>46047</v>
      </c>
      <c r="E1658" s="4" t="n">
        <v>753.71</v>
      </c>
      <c r="F1658">
        <f>Summary!$B$3-D1658</f>
        <v/>
      </c>
      <c r="G1658">
        <f>IF(D1658&gt;Summary!$B$3,"Current",IF(F1658&lt;=30,"0-30",IF(F1658&lt;=60,"31-60",IF(F1658&lt;=90,"61-90","90+"))))</f>
        <v/>
      </c>
    </row>
    <row r="1659">
      <c r="A1659" t="inlineStr">
        <is>
          <t>0009028898</t>
        </is>
      </c>
      <c r="B1659" t="inlineStr">
        <is>
          <t>0000100185</t>
        </is>
      </c>
      <c r="C1659" s="3" t="n">
        <v>45993</v>
      </c>
      <c r="D1659" s="3" t="n">
        <v>46023</v>
      </c>
      <c r="E1659" s="4" t="n">
        <v>405.53</v>
      </c>
      <c r="F1659">
        <f>Summary!$B$3-D1659</f>
        <v/>
      </c>
      <c r="G1659">
        <f>IF(D1659&gt;Summary!$B$3,"Current",IF(F1659&lt;=30,"0-30",IF(F1659&lt;=60,"31-60",IF(F1659&lt;=90,"61-90","90+"))))</f>
        <v/>
      </c>
    </row>
    <row r="1660">
      <c r="A1660" t="inlineStr">
        <is>
          <t>0009028899</t>
        </is>
      </c>
      <c r="B1660" t="inlineStr">
        <is>
          <t>0000100532</t>
        </is>
      </c>
      <c r="C1660" s="3" t="n">
        <v>45998</v>
      </c>
      <c r="D1660" s="3" t="n">
        <v>46028</v>
      </c>
      <c r="E1660" s="4" t="n">
        <v>59.19</v>
      </c>
      <c r="F1660">
        <f>Summary!$B$3-D1660</f>
        <v/>
      </c>
      <c r="G1660">
        <f>IF(D1660&gt;Summary!$B$3,"Current",IF(F1660&lt;=30,"0-30",IF(F1660&lt;=60,"31-60",IF(F1660&lt;=90,"61-90","90+"))))</f>
        <v/>
      </c>
    </row>
    <row r="1661">
      <c r="A1661" t="inlineStr">
        <is>
          <t>0009028900</t>
        </is>
      </c>
      <c r="B1661" t="inlineStr">
        <is>
          <t>0000100127</t>
        </is>
      </c>
      <c r="C1661" s="3" t="n">
        <v>45993</v>
      </c>
      <c r="D1661" s="3" t="n">
        <v>46023</v>
      </c>
      <c r="E1661" s="4" t="n">
        <v>116.4</v>
      </c>
      <c r="F1661">
        <f>Summary!$B$3-D1661</f>
        <v/>
      </c>
      <c r="G1661">
        <f>IF(D1661&gt;Summary!$B$3,"Current",IF(F1661&lt;=30,"0-30",IF(F1661&lt;=60,"31-60",IF(F1661&lt;=90,"61-90","90+"))))</f>
        <v/>
      </c>
    </row>
    <row r="1662">
      <c r="A1662" t="inlineStr">
        <is>
          <t>0009028901</t>
        </is>
      </c>
      <c r="B1662" t="inlineStr">
        <is>
          <t>0000100279</t>
        </is>
      </c>
      <c r="C1662" s="3" t="n">
        <v>45996</v>
      </c>
      <c r="D1662" s="3" t="n">
        <v>46041</v>
      </c>
      <c r="E1662" s="4" t="n">
        <v>574.5599999999999</v>
      </c>
      <c r="F1662">
        <f>Summary!$B$3-D1662</f>
        <v/>
      </c>
      <c r="G1662">
        <f>IF(D1662&gt;Summary!$B$3,"Current",IF(F1662&lt;=30,"0-30",IF(F1662&lt;=60,"31-60",IF(F1662&lt;=90,"61-90","90+"))))</f>
        <v/>
      </c>
    </row>
    <row r="1663">
      <c r="A1663" t="inlineStr">
        <is>
          <t>0009028902</t>
        </is>
      </c>
      <c r="B1663" t="inlineStr">
        <is>
          <t>0000100043</t>
        </is>
      </c>
      <c r="C1663" s="3" t="n">
        <v>46001</v>
      </c>
      <c r="D1663" s="3" t="n">
        <v>46031</v>
      </c>
      <c r="E1663" s="4" t="n">
        <v>5361.12</v>
      </c>
      <c r="F1663">
        <f>Summary!$B$3-D1663</f>
        <v/>
      </c>
      <c r="G1663">
        <f>IF(D1663&gt;Summary!$B$3,"Current",IF(F1663&lt;=30,"0-30",IF(F1663&lt;=60,"31-60",IF(F1663&lt;=90,"61-90","90+"))))</f>
        <v/>
      </c>
    </row>
    <row r="1664">
      <c r="A1664" t="inlineStr">
        <is>
          <t>0009028903</t>
        </is>
      </c>
      <c r="B1664" t="inlineStr">
        <is>
          <t>0000100290</t>
        </is>
      </c>
      <c r="C1664" s="3" t="n">
        <v>46000</v>
      </c>
      <c r="D1664" s="3" t="n">
        <v>46030</v>
      </c>
      <c r="E1664" s="4" t="n">
        <v>523.97</v>
      </c>
      <c r="F1664">
        <f>Summary!$B$3-D1664</f>
        <v/>
      </c>
      <c r="G1664">
        <f>IF(D1664&gt;Summary!$B$3,"Current",IF(F1664&lt;=30,"0-30",IF(F1664&lt;=60,"31-60",IF(F1664&lt;=90,"61-90","90+"))))</f>
        <v/>
      </c>
    </row>
    <row r="1665">
      <c r="A1665" t="inlineStr">
        <is>
          <t>0009028904</t>
        </is>
      </c>
      <c r="B1665" t="inlineStr">
        <is>
          <t>0000100324</t>
        </is>
      </c>
      <c r="C1665" s="3" t="n">
        <v>45996</v>
      </c>
      <c r="D1665" s="3" t="n">
        <v>46026</v>
      </c>
      <c r="E1665" s="4" t="n">
        <v>1124.82</v>
      </c>
      <c r="F1665">
        <f>Summary!$B$3-D1665</f>
        <v/>
      </c>
      <c r="G1665">
        <f>IF(D1665&gt;Summary!$B$3,"Current",IF(F1665&lt;=30,"0-30",IF(F1665&lt;=60,"31-60",IF(F1665&lt;=90,"61-90","90+"))))</f>
        <v/>
      </c>
    </row>
    <row r="1666">
      <c r="A1666" t="inlineStr">
        <is>
          <t>0009028905</t>
        </is>
      </c>
      <c r="B1666" t="inlineStr">
        <is>
          <t>0000100175</t>
        </is>
      </c>
      <c r="C1666" s="3" t="n">
        <v>46001</v>
      </c>
      <c r="D1666" s="3" t="n">
        <v>46061</v>
      </c>
      <c r="E1666" s="4" t="n">
        <v>27.6</v>
      </c>
      <c r="F1666">
        <f>Summary!$B$3-D1666</f>
        <v/>
      </c>
      <c r="G1666">
        <f>IF(D1666&gt;Summary!$B$3,"Current",IF(F1666&lt;=30,"0-30",IF(F1666&lt;=60,"31-60",IF(F1666&lt;=90,"61-90","90+"))))</f>
        <v/>
      </c>
    </row>
    <row r="1667">
      <c r="A1667" t="inlineStr">
        <is>
          <t>0009028906</t>
        </is>
      </c>
      <c r="B1667" t="inlineStr">
        <is>
          <t>0000100267</t>
        </is>
      </c>
      <c r="C1667" s="3" t="n">
        <v>45994</v>
      </c>
      <c r="D1667" s="3" t="n">
        <v>46039</v>
      </c>
      <c r="E1667" s="4" t="n">
        <v>443.54</v>
      </c>
      <c r="F1667">
        <f>Summary!$B$3-D1667</f>
        <v/>
      </c>
      <c r="G1667">
        <f>IF(D1667&gt;Summary!$B$3,"Current",IF(F1667&lt;=30,"0-30",IF(F1667&lt;=60,"31-60",IF(F1667&lt;=90,"61-90","90+"))))</f>
        <v/>
      </c>
    </row>
    <row r="1668">
      <c r="A1668" t="inlineStr">
        <is>
          <t>0009028907</t>
        </is>
      </c>
      <c r="B1668" t="inlineStr">
        <is>
          <t>0000100429</t>
        </is>
      </c>
      <c r="C1668" s="3" t="n">
        <v>45999</v>
      </c>
      <c r="D1668" s="3" t="n">
        <v>46029</v>
      </c>
      <c r="E1668" s="4" t="n">
        <v>2325.29</v>
      </c>
      <c r="F1668">
        <f>Summary!$B$3-D1668</f>
        <v/>
      </c>
      <c r="G1668">
        <f>IF(D1668&gt;Summary!$B$3,"Current",IF(F1668&lt;=30,"0-30",IF(F1668&lt;=60,"31-60",IF(F1668&lt;=90,"61-90","90+"))))</f>
        <v/>
      </c>
    </row>
    <row r="1669">
      <c r="A1669" t="inlineStr">
        <is>
          <t>0009028908</t>
        </is>
      </c>
      <c r="B1669" t="inlineStr">
        <is>
          <t>0000100227</t>
        </is>
      </c>
      <c r="C1669" s="3" t="n">
        <v>45999</v>
      </c>
      <c r="D1669" s="3" t="n">
        <v>46029</v>
      </c>
      <c r="E1669" s="4" t="n">
        <v>667.9299999999999</v>
      </c>
      <c r="F1669">
        <f>Summary!$B$3-D1669</f>
        <v/>
      </c>
      <c r="G1669">
        <f>IF(D1669&gt;Summary!$B$3,"Current",IF(F1669&lt;=30,"0-30",IF(F1669&lt;=60,"31-60",IF(F1669&lt;=90,"61-90","90+"))))</f>
        <v/>
      </c>
    </row>
    <row r="1670">
      <c r="A1670" t="inlineStr">
        <is>
          <t>0009028909</t>
        </is>
      </c>
      <c r="B1670" t="inlineStr">
        <is>
          <t>0000100111</t>
        </is>
      </c>
      <c r="C1670" s="3" t="n">
        <v>46002</v>
      </c>
      <c r="D1670" s="3" t="n">
        <v>46047</v>
      </c>
      <c r="E1670" s="4" t="n">
        <v>192.36</v>
      </c>
      <c r="F1670">
        <f>Summary!$B$3-D1670</f>
        <v/>
      </c>
      <c r="G1670">
        <f>IF(D1670&gt;Summary!$B$3,"Current",IF(F1670&lt;=30,"0-30",IF(F1670&lt;=60,"31-60",IF(F1670&lt;=90,"61-90","90+"))))</f>
        <v/>
      </c>
    </row>
    <row r="1671">
      <c r="A1671" t="inlineStr">
        <is>
          <t>0009028910</t>
        </is>
      </c>
      <c r="B1671" t="inlineStr">
        <is>
          <t>0000100274</t>
        </is>
      </c>
      <c r="C1671" s="3" t="n">
        <v>45995</v>
      </c>
      <c r="D1671" s="3" t="n">
        <v>46040</v>
      </c>
      <c r="E1671" s="4" t="n">
        <v>879.86</v>
      </c>
      <c r="F1671">
        <f>Summary!$B$3-D1671</f>
        <v/>
      </c>
      <c r="G1671">
        <f>IF(D1671&gt;Summary!$B$3,"Current",IF(F1671&lt;=30,"0-30",IF(F1671&lt;=60,"31-60",IF(F1671&lt;=90,"61-90","90+"))))</f>
        <v/>
      </c>
    </row>
    <row r="1672">
      <c r="A1672" t="inlineStr">
        <is>
          <t>0009028911</t>
        </is>
      </c>
      <c r="B1672" t="inlineStr">
        <is>
          <t>0000100163</t>
        </is>
      </c>
      <c r="C1672" s="3" t="n">
        <v>45997</v>
      </c>
      <c r="D1672" s="3" t="n">
        <v>46027</v>
      </c>
      <c r="E1672" s="4" t="n">
        <v>625.1900000000001</v>
      </c>
      <c r="F1672">
        <f>Summary!$B$3-D1672</f>
        <v/>
      </c>
      <c r="G1672">
        <f>IF(D1672&gt;Summary!$B$3,"Current",IF(F1672&lt;=30,"0-30",IF(F1672&lt;=60,"31-60",IF(F1672&lt;=90,"61-90","90+"))))</f>
        <v/>
      </c>
    </row>
    <row r="1673">
      <c r="A1673" t="inlineStr">
        <is>
          <t>0009028912</t>
        </is>
      </c>
      <c r="B1673" t="inlineStr">
        <is>
          <t>0000100258</t>
        </is>
      </c>
      <c r="C1673" s="3" t="n">
        <v>45998</v>
      </c>
      <c r="D1673" s="3" t="n">
        <v>46028</v>
      </c>
      <c r="E1673" s="4" t="n">
        <v>409.78</v>
      </c>
      <c r="F1673">
        <f>Summary!$B$3-D1673</f>
        <v/>
      </c>
      <c r="G1673">
        <f>IF(D1673&gt;Summary!$B$3,"Current",IF(F1673&lt;=30,"0-30",IF(F1673&lt;=60,"31-60",IF(F1673&lt;=90,"61-90","90+"))))</f>
        <v/>
      </c>
    </row>
    <row r="1674">
      <c r="A1674" t="inlineStr">
        <is>
          <t>0009028913</t>
        </is>
      </c>
      <c r="B1674" t="inlineStr">
        <is>
          <t>0000100312</t>
        </is>
      </c>
      <c r="C1674" s="3" t="n">
        <v>46000</v>
      </c>
      <c r="D1674" s="3" t="n">
        <v>46060</v>
      </c>
      <c r="E1674" s="4" t="n">
        <v>5103.99</v>
      </c>
      <c r="F1674">
        <f>Summary!$B$3-D1674</f>
        <v/>
      </c>
      <c r="G1674">
        <f>IF(D1674&gt;Summary!$B$3,"Current",IF(F1674&lt;=30,"0-30",IF(F1674&lt;=60,"31-60",IF(F1674&lt;=90,"61-90","90+"))))</f>
        <v/>
      </c>
    </row>
    <row r="1675">
      <c r="A1675" t="inlineStr">
        <is>
          <t>0009028914</t>
        </is>
      </c>
      <c r="B1675" t="inlineStr">
        <is>
          <t>0000100588</t>
        </is>
      </c>
      <c r="C1675" s="3" t="n">
        <v>45998</v>
      </c>
      <c r="D1675" s="3" t="n">
        <v>46028</v>
      </c>
      <c r="E1675" s="4" t="n">
        <v>251.16</v>
      </c>
      <c r="F1675">
        <f>Summary!$B$3-D1675</f>
        <v/>
      </c>
      <c r="G1675">
        <f>IF(D1675&gt;Summary!$B$3,"Current",IF(F1675&lt;=30,"0-30",IF(F1675&lt;=60,"31-60",IF(F1675&lt;=90,"61-90","90+"))))</f>
        <v/>
      </c>
    </row>
    <row r="1676">
      <c r="A1676" t="inlineStr">
        <is>
          <t>0009028915</t>
        </is>
      </c>
      <c r="B1676" t="inlineStr">
        <is>
          <t>0000100557</t>
        </is>
      </c>
      <c r="C1676" s="3" t="n">
        <v>45999</v>
      </c>
      <c r="D1676" s="3" t="n">
        <v>46029</v>
      </c>
      <c r="E1676" s="4" t="n">
        <v>664.24</v>
      </c>
      <c r="F1676">
        <f>Summary!$B$3-D1676</f>
        <v/>
      </c>
      <c r="G1676">
        <f>IF(D1676&gt;Summary!$B$3,"Current",IF(F1676&lt;=30,"0-30",IF(F1676&lt;=60,"31-60",IF(F1676&lt;=90,"61-90","90+"))))</f>
        <v/>
      </c>
    </row>
    <row r="1677">
      <c r="A1677" t="inlineStr">
        <is>
          <t>0009028916</t>
        </is>
      </c>
      <c r="B1677" t="inlineStr">
        <is>
          <t>0000100260</t>
        </is>
      </c>
      <c r="C1677" s="3" t="n">
        <v>45998</v>
      </c>
      <c r="D1677" s="3" t="n">
        <v>46043</v>
      </c>
      <c r="E1677" s="4" t="n">
        <v>201.84</v>
      </c>
      <c r="F1677">
        <f>Summary!$B$3-D1677</f>
        <v/>
      </c>
      <c r="G1677">
        <f>IF(D1677&gt;Summary!$B$3,"Current",IF(F1677&lt;=30,"0-30",IF(F1677&lt;=60,"31-60",IF(F1677&lt;=90,"61-90","90+"))))</f>
        <v/>
      </c>
    </row>
    <row r="1678">
      <c r="A1678" t="inlineStr">
        <is>
          <t>0009028917</t>
        </is>
      </c>
      <c r="B1678" t="inlineStr">
        <is>
          <t>0000100196</t>
        </is>
      </c>
      <c r="C1678" s="3" t="n">
        <v>45998</v>
      </c>
      <c r="D1678" s="3" t="n">
        <v>46028</v>
      </c>
      <c r="E1678" s="4" t="n">
        <v>847.62</v>
      </c>
      <c r="F1678">
        <f>Summary!$B$3-D1678</f>
        <v/>
      </c>
      <c r="G1678">
        <f>IF(D1678&gt;Summary!$B$3,"Current",IF(F1678&lt;=30,"0-30",IF(F1678&lt;=60,"31-60",IF(F1678&lt;=90,"61-90","90+"))))</f>
        <v/>
      </c>
    </row>
    <row r="1679">
      <c r="A1679" t="inlineStr">
        <is>
          <t>0009028918</t>
        </is>
      </c>
      <c r="B1679" t="inlineStr">
        <is>
          <t>0000100285</t>
        </is>
      </c>
      <c r="C1679" s="3" t="n">
        <v>45999</v>
      </c>
      <c r="D1679" s="3" t="n">
        <v>46029</v>
      </c>
      <c r="E1679" s="4" t="n">
        <v>671.36</v>
      </c>
      <c r="F1679">
        <f>Summary!$B$3-D1679</f>
        <v/>
      </c>
      <c r="G1679">
        <f>IF(D1679&gt;Summary!$B$3,"Current",IF(F1679&lt;=30,"0-30",IF(F1679&lt;=60,"31-60",IF(F1679&lt;=90,"61-90","90+"))))</f>
        <v/>
      </c>
    </row>
    <row r="1680">
      <c r="A1680" t="inlineStr">
        <is>
          <t>0009028919</t>
        </is>
      </c>
      <c r="B1680" t="inlineStr">
        <is>
          <t>0000100269</t>
        </is>
      </c>
      <c r="C1680" s="3" t="n">
        <v>46005</v>
      </c>
      <c r="D1680" s="3" t="n">
        <v>46035</v>
      </c>
      <c r="E1680" s="4" t="n">
        <v>1382.15</v>
      </c>
      <c r="F1680">
        <f>Summary!$B$3-D1680</f>
        <v/>
      </c>
      <c r="G1680">
        <f>IF(D1680&gt;Summary!$B$3,"Current",IF(F1680&lt;=30,"0-30",IF(F1680&lt;=60,"31-60",IF(F1680&lt;=90,"61-90","90+"))))</f>
        <v/>
      </c>
    </row>
    <row r="1681">
      <c r="A1681" t="inlineStr">
        <is>
          <t>0009028921</t>
        </is>
      </c>
      <c r="B1681" t="inlineStr">
        <is>
          <t>0000100529</t>
        </is>
      </c>
      <c r="C1681" s="3" t="n">
        <v>45995</v>
      </c>
      <c r="D1681" s="3" t="n">
        <v>46055</v>
      </c>
      <c r="E1681" s="4" t="n">
        <v>887.22</v>
      </c>
      <c r="F1681">
        <f>Summary!$B$3-D1681</f>
        <v/>
      </c>
      <c r="G1681">
        <f>IF(D1681&gt;Summary!$B$3,"Current",IF(F1681&lt;=30,"0-30",IF(F1681&lt;=60,"31-60",IF(F1681&lt;=90,"61-90","90+"))))</f>
        <v/>
      </c>
    </row>
    <row r="1682">
      <c r="A1682" t="inlineStr">
        <is>
          <t>0009028922</t>
        </is>
      </c>
      <c r="B1682" t="inlineStr">
        <is>
          <t>0000100465</t>
        </is>
      </c>
      <c r="C1682" s="3" t="n">
        <v>46004</v>
      </c>
      <c r="D1682" s="3" t="n">
        <v>46064</v>
      </c>
      <c r="E1682" s="4" t="n">
        <v>666.04</v>
      </c>
      <c r="F1682">
        <f>Summary!$B$3-D1682</f>
        <v/>
      </c>
      <c r="G1682">
        <f>IF(D1682&gt;Summary!$B$3,"Current",IF(F1682&lt;=30,"0-30",IF(F1682&lt;=60,"31-60",IF(F1682&lt;=90,"61-90","90+"))))</f>
        <v/>
      </c>
    </row>
    <row r="1683">
      <c r="A1683" t="inlineStr">
        <is>
          <t>0009028923</t>
        </is>
      </c>
      <c r="B1683" t="inlineStr">
        <is>
          <t>0000100379</t>
        </is>
      </c>
      <c r="C1683" s="3" t="n">
        <v>45997</v>
      </c>
      <c r="D1683" s="3" t="n">
        <v>46027</v>
      </c>
      <c r="E1683" s="4" t="n">
        <v>881.5700000000001</v>
      </c>
      <c r="F1683">
        <f>Summary!$B$3-D1683</f>
        <v/>
      </c>
      <c r="G1683">
        <f>IF(D1683&gt;Summary!$B$3,"Current",IF(F1683&lt;=30,"0-30",IF(F1683&lt;=60,"31-60",IF(F1683&lt;=90,"61-90","90+"))))</f>
        <v/>
      </c>
    </row>
    <row r="1684">
      <c r="A1684" t="inlineStr">
        <is>
          <t>0009028924</t>
        </is>
      </c>
      <c r="B1684" t="inlineStr">
        <is>
          <t>0000100021</t>
        </is>
      </c>
      <c r="C1684" s="3" t="n">
        <v>46004</v>
      </c>
      <c r="D1684" s="3" t="n">
        <v>46034</v>
      </c>
      <c r="E1684" s="4" t="n">
        <v>780.96</v>
      </c>
      <c r="F1684">
        <f>Summary!$B$3-D1684</f>
        <v/>
      </c>
      <c r="G1684">
        <f>IF(D1684&gt;Summary!$B$3,"Current",IF(F1684&lt;=30,"0-30",IF(F1684&lt;=60,"31-60",IF(F1684&lt;=90,"61-90","90+"))))</f>
        <v/>
      </c>
    </row>
    <row r="1685">
      <c r="A1685" t="inlineStr">
        <is>
          <t>0009028925</t>
        </is>
      </c>
      <c r="B1685" t="inlineStr">
        <is>
          <t>0000100106</t>
        </is>
      </c>
      <c r="C1685" s="3" t="n">
        <v>45998</v>
      </c>
      <c r="D1685" s="3" t="n">
        <v>46043</v>
      </c>
      <c r="E1685" s="4" t="n">
        <v>445.26</v>
      </c>
      <c r="F1685">
        <f>Summary!$B$3-D1685</f>
        <v/>
      </c>
      <c r="G1685">
        <f>IF(D1685&gt;Summary!$B$3,"Current",IF(F1685&lt;=30,"0-30",IF(F1685&lt;=60,"31-60",IF(F1685&lt;=90,"61-90","90+"))))</f>
        <v/>
      </c>
    </row>
    <row r="1686">
      <c r="A1686" t="inlineStr">
        <is>
          <t>0009028926</t>
        </is>
      </c>
      <c r="B1686" t="inlineStr">
        <is>
          <t>0000100104</t>
        </is>
      </c>
      <c r="C1686" s="3" t="n">
        <v>45998</v>
      </c>
      <c r="D1686" s="3" t="n">
        <v>46028</v>
      </c>
      <c r="E1686" s="4" t="n">
        <v>425.19</v>
      </c>
      <c r="F1686">
        <f>Summary!$B$3-D1686</f>
        <v/>
      </c>
      <c r="G1686">
        <f>IF(D1686&gt;Summary!$B$3,"Current",IF(F1686&lt;=30,"0-30",IF(F1686&lt;=60,"31-60",IF(F1686&lt;=90,"61-90","90+"))))</f>
        <v/>
      </c>
    </row>
    <row r="1687">
      <c r="A1687" t="inlineStr">
        <is>
          <t>0009028927</t>
        </is>
      </c>
      <c r="B1687" t="inlineStr">
        <is>
          <t>0000100450</t>
        </is>
      </c>
      <c r="C1687" s="3" t="n">
        <v>46001</v>
      </c>
      <c r="D1687" s="3" t="n">
        <v>46046</v>
      </c>
      <c r="E1687" s="4" t="n">
        <v>273.3</v>
      </c>
      <c r="F1687">
        <f>Summary!$B$3-D1687</f>
        <v/>
      </c>
      <c r="G1687">
        <f>IF(D1687&gt;Summary!$B$3,"Current",IF(F1687&lt;=30,"0-30",IF(F1687&lt;=60,"31-60",IF(F1687&lt;=90,"61-90","90+"))))</f>
        <v/>
      </c>
    </row>
    <row r="1688">
      <c r="A1688" t="inlineStr">
        <is>
          <t>0009028928</t>
        </is>
      </c>
      <c r="B1688" t="inlineStr">
        <is>
          <t>0000100377</t>
        </is>
      </c>
      <c r="C1688" s="3" t="n">
        <v>46005</v>
      </c>
      <c r="D1688" s="3" t="n">
        <v>46035</v>
      </c>
      <c r="E1688" s="4" t="n">
        <v>2021.97</v>
      </c>
      <c r="F1688">
        <f>Summary!$B$3-D1688</f>
        <v/>
      </c>
      <c r="G1688">
        <f>IF(D1688&gt;Summary!$B$3,"Current",IF(F1688&lt;=30,"0-30",IF(F1688&lt;=60,"31-60",IF(F1688&lt;=90,"61-90","90+"))))</f>
        <v/>
      </c>
    </row>
    <row r="1689">
      <c r="A1689" t="inlineStr">
        <is>
          <t>0009028929</t>
        </is>
      </c>
      <c r="B1689" t="inlineStr">
        <is>
          <t>0000100006</t>
        </is>
      </c>
      <c r="C1689" s="3" t="n">
        <v>46000</v>
      </c>
      <c r="D1689" s="3" t="n">
        <v>46060</v>
      </c>
      <c r="E1689" s="4" t="n">
        <v>938.6900000000001</v>
      </c>
      <c r="F1689">
        <f>Summary!$B$3-D1689</f>
        <v/>
      </c>
      <c r="G1689">
        <f>IF(D1689&gt;Summary!$B$3,"Current",IF(F1689&lt;=30,"0-30",IF(F1689&lt;=60,"31-60",IF(F1689&lt;=90,"61-90","90+"))))</f>
        <v/>
      </c>
    </row>
    <row r="1690">
      <c r="A1690" t="inlineStr">
        <is>
          <t>0009028930</t>
        </is>
      </c>
      <c r="B1690" t="inlineStr">
        <is>
          <t>0000100460</t>
        </is>
      </c>
      <c r="C1690" s="3" t="n">
        <v>46005</v>
      </c>
      <c r="D1690" s="3" t="n">
        <v>46065</v>
      </c>
      <c r="E1690" s="4" t="n">
        <v>1829.48</v>
      </c>
      <c r="F1690">
        <f>Summary!$B$3-D1690</f>
        <v/>
      </c>
      <c r="G1690">
        <f>IF(D1690&gt;Summary!$B$3,"Current",IF(F1690&lt;=30,"0-30",IF(F1690&lt;=60,"31-60",IF(F1690&lt;=90,"61-90","90+"))))</f>
        <v/>
      </c>
    </row>
    <row r="1691">
      <c r="A1691" t="inlineStr">
        <is>
          <t>0009028932</t>
        </is>
      </c>
      <c r="B1691" t="inlineStr">
        <is>
          <t>0000100228</t>
        </is>
      </c>
      <c r="C1691" s="3" t="n">
        <v>45997</v>
      </c>
      <c r="D1691" s="3" t="n">
        <v>46057</v>
      </c>
      <c r="E1691" s="4" t="n">
        <v>188.5</v>
      </c>
      <c r="F1691">
        <f>Summary!$B$3-D1691</f>
        <v/>
      </c>
      <c r="G1691">
        <f>IF(D1691&gt;Summary!$B$3,"Current",IF(F1691&lt;=30,"0-30",IF(F1691&lt;=60,"31-60",IF(F1691&lt;=90,"61-90","90+"))))</f>
        <v/>
      </c>
    </row>
    <row r="1692">
      <c r="A1692" t="inlineStr">
        <is>
          <t>0009028933</t>
        </is>
      </c>
      <c r="B1692" t="inlineStr">
        <is>
          <t>0000100204</t>
        </is>
      </c>
      <c r="C1692" s="3" t="n">
        <v>45997</v>
      </c>
      <c r="D1692" s="3" t="n">
        <v>46027</v>
      </c>
      <c r="E1692" s="4" t="n">
        <v>7930.16</v>
      </c>
      <c r="F1692">
        <f>Summary!$B$3-D1692</f>
        <v/>
      </c>
      <c r="G1692">
        <f>IF(D1692&gt;Summary!$B$3,"Current",IF(F1692&lt;=30,"0-30",IF(F1692&lt;=60,"31-60",IF(F1692&lt;=90,"61-90","90+"))))</f>
        <v/>
      </c>
    </row>
    <row r="1693">
      <c r="A1693" t="inlineStr">
        <is>
          <t>0009028934</t>
        </is>
      </c>
      <c r="B1693" t="inlineStr">
        <is>
          <t>0000100581</t>
        </is>
      </c>
      <c r="C1693" s="3" t="n">
        <v>46000</v>
      </c>
      <c r="D1693" s="3" t="n">
        <v>46030</v>
      </c>
      <c r="E1693" s="4" t="n">
        <v>1506.2</v>
      </c>
      <c r="F1693">
        <f>Summary!$B$3-D1693</f>
        <v/>
      </c>
      <c r="G1693">
        <f>IF(D1693&gt;Summary!$B$3,"Current",IF(F1693&lt;=30,"0-30",IF(F1693&lt;=60,"31-60",IF(F1693&lt;=90,"61-90","90+"))))</f>
        <v/>
      </c>
    </row>
    <row r="1694">
      <c r="A1694" t="inlineStr">
        <is>
          <t>0009028935</t>
        </is>
      </c>
      <c r="B1694" t="inlineStr">
        <is>
          <t>0000100597</t>
        </is>
      </c>
      <c r="C1694" s="3" t="n">
        <v>45997</v>
      </c>
      <c r="D1694" s="3" t="n">
        <v>46042</v>
      </c>
      <c r="E1694" s="4" t="n">
        <v>677.0599999999999</v>
      </c>
      <c r="F1694">
        <f>Summary!$B$3-D1694</f>
        <v/>
      </c>
      <c r="G1694">
        <f>IF(D1694&gt;Summary!$B$3,"Current",IF(F1694&lt;=30,"0-30",IF(F1694&lt;=60,"31-60",IF(F1694&lt;=90,"61-90","90+"))))</f>
        <v/>
      </c>
    </row>
    <row r="1695">
      <c r="A1695" t="inlineStr">
        <is>
          <t>0009028936</t>
        </is>
      </c>
      <c r="B1695" t="inlineStr">
        <is>
          <t>0000100164</t>
        </is>
      </c>
      <c r="C1695" s="3" t="n">
        <v>45999</v>
      </c>
      <c r="D1695" s="3" t="n">
        <v>46059</v>
      </c>
      <c r="E1695" s="4" t="n">
        <v>238.7</v>
      </c>
      <c r="F1695">
        <f>Summary!$B$3-D1695</f>
        <v/>
      </c>
      <c r="G1695">
        <f>IF(D1695&gt;Summary!$B$3,"Current",IF(F1695&lt;=30,"0-30",IF(F1695&lt;=60,"31-60",IF(F1695&lt;=90,"61-90","90+"))))</f>
        <v/>
      </c>
    </row>
    <row r="1696">
      <c r="A1696" t="inlineStr">
        <is>
          <t>0009028937</t>
        </is>
      </c>
      <c r="B1696" t="inlineStr">
        <is>
          <t>0000100348</t>
        </is>
      </c>
      <c r="C1696" s="3" t="n">
        <v>46002</v>
      </c>
      <c r="D1696" s="3" t="n">
        <v>46062</v>
      </c>
      <c r="E1696" s="4" t="n">
        <v>74.59</v>
      </c>
      <c r="F1696">
        <f>Summary!$B$3-D1696</f>
        <v/>
      </c>
      <c r="G1696">
        <f>IF(D1696&gt;Summary!$B$3,"Current",IF(F1696&lt;=30,"0-30",IF(F1696&lt;=60,"31-60",IF(F1696&lt;=90,"61-90","90+"))))</f>
        <v/>
      </c>
    </row>
    <row r="1697">
      <c r="A1697" t="inlineStr">
        <is>
          <t>0009028938</t>
        </is>
      </c>
      <c r="B1697" t="inlineStr">
        <is>
          <t>0000100369</t>
        </is>
      </c>
      <c r="C1697" s="3" t="n">
        <v>46006</v>
      </c>
      <c r="D1697" s="3" t="n">
        <v>46036</v>
      </c>
      <c r="E1697" s="4" t="n">
        <v>1172.4</v>
      </c>
      <c r="F1697">
        <f>Summary!$B$3-D1697</f>
        <v/>
      </c>
      <c r="G1697">
        <f>IF(D1697&gt;Summary!$B$3,"Current",IF(F1697&lt;=30,"0-30",IF(F1697&lt;=60,"31-60",IF(F1697&lt;=90,"61-90","90+"))))</f>
        <v/>
      </c>
    </row>
    <row r="1698">
      <c r="A1698" t="inlineStr">
        <is>
          <t>0009028939</t>
        </is>
      </c>
      <c r="B1698" t="inlineStr">
        <is>
          <t>0000100449</t>
        </is>
      </c>
      <c r="C1698" s="3" t="n">
        <v>45999</v>
      </c>
      <c r="D1698" s="3" t="n">
        <v>46029</v>
      </c>
      <c r="E1698" s="4" t="n">
        <v>733.7</v>
      </c>
      <c r="F1698">
        <f>Summary!$B$3-D1698</f>
        <v/>
      </c>
      <c r="G1698">
        <f>IF(D1698&gt;Summary!$B$3,"Current",IF(F1698&lt;=30,"0-30",IF(F1698&lt;=60,"31-60",IF(F1698&lt;=90,"61-90","90+"))))</f>
        <v/>
      </c>
    </row>
    <row r="1699">
      <c r="A1699" t="inlineStr">
        <is>
          <t>0009028940</t>
        </is>
      </c>
      <c r="B1699" t="inlineStr">
        <is>
          <t>0000100051</t>
        </is>
      </c>
      <c r="C1699" s="3" t="n">
        <v>45996</v>
      </c>
      <c r="D1699" s="3" t="n">
        <v>46056</v>
      </c>
      <c r="E1699" s="4" t="n">
        <v>1039.22</v>
      </c>
      <c r="F1699">
        <f>Summary!$B$3-D1699</f>
        <v/>
      </c>
      <c r="G1699">
        <f>IF(D1699&gt;Summary!$B$3,"Current",IF(F1699&lt;=30,"0-30",IF(F1699&lt;=60,"31-60",IF(F1699&lt;=90,"61-90","90+"))))</f>
        <v/>
      </c>
    </row>
    <row r="1700">
      <c r="A1700" t="inlineStr">
        <is>
          <t>0009028941</t>
        </is>
      </c>
      <c r="B1700" t="inlineStr">
        <is>
          <t>0000100285</t>
        </is>
      </c>
      <c r="C1700" s="3" t="n">
        <v>45999</v>
      </c>
      <c r="D1700" s="3" t="n">
        <v>46029</v>
      </c>
      <c r="E1700" s="4" t="n">
        <v>2141.33</v>
      </c>
      <c r="F1700">
        <f>Summary!$B$3-D1700</f>
        <v/>
      </c>
      <c r="G1700">
        <f>IF(D1700&gt;Summary!$B$3,"Current",IF(F1700&lt;=30,"0-30",IF(F1700&lt;=60,"31-60",IF(F1700&lt;=90,"61-90","90+"))))</f>
        <v/>
      </c>
    </row>
    <row r="1701">
      <c r="A1701" t="inlineStr">
        <is>
          <t>0009028942</t>
        </is>
      </c>
      <c r="B1701" t="inlineStr">
        <is>
          <t>0000100369</t>
        </is>
      </c>
      <c r="C1701" s="3" t="n">
        <v>46004</v>
      </c>
      <c r="D1701" s="3" t="n">
        <v>46034</v>
      </c>
      <c r="E1701" s="4" t="n">
        <v>62.38</v>
      </c>
      <c r="F1701">
        <f>Summary!$B$3-D1701</f>
        <v/>
      </c>
      <c r="G1701">
        <f>IF(D1701&gt;Summary!$B$3,"Current",IF(F1701&lt;=30,"0-30",IF(F1701&lt;=60,"31-60",IF(F1701&lt;=90,"61-90","90+"))))</f>
        <v/>
      </c>
    </row>
    <row r="1702">
      <c r="A1702" t="inlineStr">
        <is>
          <t>0009028943</t>
        </is>
      </c>
      <c r="B1702" t="inlineStr">
        <is>
          <t>0000100049</t>
        </is>
      </c>
      <c r="C1702" s="3" t="n">
        <v>45999</v>
      </c>
      <c r="D1702" s="3" t="n">
        <v>46029</v>
      </c>
      <c r="E1702" s="4" t="n">
        <v>1592.01</v>
      </c>
      <c r="F1702">
        <f>Summary!$B$3-D1702</f>
        <v/>
      </c>
      <c r="G1702">
        <f>IF(D1702&gt;Summary!$B$3,"Current",IF(F1702&lt;=30,"0-30",IF(F1702&lt;=60,"31-60",IF(F1702&lt;=90,"61-90","90+"))))</f>
        <v/>
      </c>
    </row>
    <row r="1703">
      <c r="A1703" t="inlineStr">
        <is>
          <t>0009028944</t>
        </is>
      </c>
      <c r="B1703" t="inlineStr">
        <is>
          <t>0000100227</t>
        </is>
      </c>
      <c r="C1703" s="3" t="n">
        <v>45996</v>
      </c>
      <c r="D1703" s="3" t="n">
        <v>46026</v>
      </c>
      <c r="E1703" s="4" t="n">
        <v>523.16</v>
      </c>
      <c r="F1703">
        <f>Summary!$B$3-D1703</f>
        <v/>
      </c>
      <c r="G1703">
        <f>IF(D1703&gt;Summary!$B$3,"Current",IF(F1703&lt;=30,"0-30",IF(F1703&lt;=60,"31-60",IF(F1703&lt;=90,"61-90","90+"))))</f>
        <v/>
      </c>
    </row>
    <row r="1704">
      <c r="A1704" t="inlineStr">
        <is>
          <t>0009028945</t>
        </is>
      </c>
      <c r="B1704" t="inlineStr">
        <is>
          <t>0000100088</t>
        </is>
      </c>
      <c r="C1704" s="3" t="n">
        <v>46000</v>
      </c>
      <c r="D1704" s="3" t="n">
        <v>46045</v>
      </c>
      <c r="E1704" s="4" t="n">
        <v>2615.16</v>
      </c>
      <c r="F1704">
        <f>Summary!$B$3-D1704</f>
        <v/>
      </c>
      <c r="G1704">
        <f>IF(D1704&gt;Summary!$B$3,"Current",IF(F1704&lt;=30,"0-30",IF(F1704&lt;=60,"31-60",IF(F1704&lt;=90,"61-90","90+"))))</f>
        <v/>
      </c>
    </row>
    <row r="1705">
      <c r="A1705" t="inlineStr">
        <is>
          <t>0009028946</t>
        </is>
      </c>
      <c r="B1705" t="inlineStr">
        <is>
          <t>0000100064</t>
        </is>
      </c>
      <c r="C1705" s="3" t="n">
        <v>46004</v>
      </c>
      <c r="D1705" s="3" t="n">
        <v>46034</v>
      </c>
      <c r="E1705" s="4" t="n">
        <v>327.39</v>
      </c>
      <c r="F1705">
        <f>Summary!$B$3-D1705</f>
        <v/>
      </c>
      <c r="G1705">
        <f>IF(D1705&gt;Summary!$B$3,"Current",IF(F1705&lt;=30,"0-30",IF(F1705&lt;=60,"31-60",IF(F1705&lt;=90,"61-90","90+"))))</f>
        <v/>
      </c>
    </row>
    <row r="1706">
      <c r="A1706" t="inlineStr">
        <is>
          <t>0009028947</t>
        </is>
      </c>
      <c r="B1706" t="inlineStr">
        <is>
          <t>0000100555</t>
        </is>
      </c>
      <c r="C1706" s="3" t="n">
        <v>46000</v>
      </c>
      <c r="D1706" s="3" t="n">
        <v>46030</v>
      </c>
      <c r="E1706" s="4" t="n">
        <v>864.72</v>
      </c>
      <c r="F1706">
        <f>Summary!$B$3-D1706</f>
        <v/>
      </c>
      <c r="G1706">
        <f>IF(D1706&gt;Summary!$B$3,"Current",IF(F1706&lt;=30,"0-30",IF(F1706&lt;=60,"31-60",IF(F1706&lt;=90,"61-90","90+"))))</f>
        <v/>
      </c>
    </row>
    <row r="1707">
      <c r="A1707" t="inlineStr">
        <is>
          <t>0009028948</t>
        </is>
      </c>
      <c r="B1707" t="inlineStr">
        <is>
          <t>0000100279</t>
        </is>
      </c>
      <c r="C1707" s="3" t="n">
        <v>45994</v>
      </c>
      <c r="D1707" s="3" t="n">
        <v>46039</v>
      </c>
      <c r="E1707" s="4" t="n">
        <v>2155.12</v>
      </c>
      <c r="F1707">
        <f>Summary!$B$3-D1707</f>
        <v/>
      </c>
      <c r="G1707">
        <f>IF(D1707&gt;Summary!$B$3,"Current",IF(F1707&lt;=30,"0-30",IF(F1707&lt;=60,"31-60",IF(F1707&lt;=90,"61-90","90+"))))</f>
        <v/>
      </c>
    </row>
    <row r="1708">
      <c r="A1708" t="inlineStr">
        <is>
          <t>0009028949</t>
        </is>
      </c>
      <c r="B1708" t="inlineStr">
        <is>
          <t>0000100364</t>
        </is>
      </c>
      <c r="C1708" s="3" t="n">
        <v>46000</v>
      </c>
      <c r="D1708" s="3" t="n">
        <v>46060</v>
      </c>
      <c r="E1708" s="4" t="n">
        <v>3005.4</v>
      </c>
      <c r="F1708">
        <f>Summary!$B$3-D1708</f>
        <v/>
      </c>
      <c r="G1708">
        <f>IF(D1708&gt;Summary!$B$3,"Current",IF(F1708&lt;=30,"0-30",IF(F1708&lt;=60,"31-60",IF(F1708&lt;=90,"61-90","90+"))))</f>
        <v/>
      </c>
    </row>
    <row r="1709">
      <c r="A1709" t="inlineStr">
        <is>
          <t>0009028950</t>
        </is>
      </c>
      <c r="B1709" t="inlineStr">
        <is>
          <t>0000100400</t>
        </is>
      </c>
      <c r="C1709" s="3" t="n">
        <v>45999</v>
      </c>
      <c r="D1709" s="3" t="n">
        <v>46029</v>
      </c>
      <c r="E1709" s="4" t="n">
        <v>331.75</v>
      </c>
      <c r="F1709">
        <f>Summary!$B$3-D1709</f>
        <v/>
      </c>
      <c r="G1709">
        <f>IF(D1709&gt;Summary!$B$3,"Current",IF(F1709&lt;=30,"0-30",IF(F1709&lt;=60,"31-60",IF(F1709&lt;=90,"61-90","90+"))))</f>
        <v/>
      </c>
    </row>
    <row r="1710">
      <c r="A1710" t="inlineStr">
        <is>
          <t>0009028951</t>
        </is>
      </c>
      <c r="B1710" t="inlineStr">
        <is>
          <t>0000100350</t>
        </is>
      </c>
      <c r="C1710" s="3" t="n">
        <v>46003</v>
      </c>
      <c r="D1710" s="3" t="n">
        <v>46048</v>
      </c>
      <c r="E1710" s="4" t="n">
        <v>851.87</v>
      </c>
      <c r="F1710">
        <f>Summary!$B$3-D1710</f>
        <v/>
      </c>
      <c r="G1710">
        <f>IF(D1710&gt;Summary!$B$3,"Current",IF(F1710&lt;=30,"0-30",IF(F1710&lt;=60,"31-60",IF(F1710&lt;=90,"61-90","90+"))))</f>
        <v/>
      </c>
    </row>
    <row r="1711">
      <c r="A1711" t="inlineStr">
        <is>
          <t>0009028952</t>
        </is>
      </c>
      <c r="B1711" t="inlineStr">
        <is>
          <t>0000100106</t>
        </is>
      </c>
      <c r="C1711" s="3" t="n">
        <v>45997</v>
      </c>
      <c r="D1711" s="3" t="n">
        <v>46042</v>
      </c>
      <c r="E1711" s="4" t="n">
        <v>270.92</v>
      </c>
      <c r="F1711">
        <f>Summary!$B$3-D1711</f>
        <v/>
      </c>
      <c r="G1711">
        <f>IF(D1711&gt;Summary!$B$3,"Current",IF(F1711&lt;=30,"0-30",IF(F1711&lt;=60,"31-60",IF(F1711&lt;=90,"61-90","90+"))))</f>
        <v/>
      </c>
    </row>
    <row r="1712">
      <c r="A1712" t="inlineStr">
        <is>
          <t>0009028953</t>
        </is>
      </c>
      <c r="B1712" t="inlineStr">
        <is>
          <t>0000100305</t>
        </is>
      </c>
      <c r="C1712" s="3" t="n">
        <v>46003</v>
      </c>
      <c r="D1712" s="3" t="n">
        <v>46048</v>
      </c>
      <c r="E1712" s="4" t="n">
        <v>3607.3</v>
      </c>
      <c r="F1712">
        <f>Summary!$B$3-D1712</f>
        <v/>
      </c>
      <c r="G1712">
        <f>IF(D1712&gt;Summary!$B$3,"Current",IF(F1712&lt;=30,"0-30",IF(F1712&lt;=60,"31-60",IF(F1712&lt;=90,"61-90","90+"))))</f>
        <v/>
      </c>
    </row>
    <row r="1713">
      <c r="A1713" t="inlineStr">
        <is>
          <t>0009028954</t>
        </is>
      </c>
      <c r="B1713" t="inlineStr">
        <is>
          <t>0000100588</t>
        </is>
      </c>
      <c r="C1713" s="3" t="n">
        <v>45994</v>
      </c>
      <c r="D1713" s="3" t="n">
        <v>46024</v>
      </c>
      <c r="E1713" s="4" t="n">
        <v>495.47</v>
      </c>
      <c r="F1713">
        <f>Summary!$B$3-D1713</f>
        <v/>
      </c>
      <c r="G1713">
        <f>IF(D1713&gt;Summary!$B$3,"Current",IF(F1713&lt;=30,"0-30",IF(F1713&lt;=60,"31-60",IF(F1713&lt;=90,"61-90","90+"))))</f>
        <v/>
      </c>
    </row>
    <row r="1714">
      <c r="A1714" t="inlineStr">
        <is>
          <t>0009028955</t>
        </is>
      </c>
      <c r="B1714" t="inlineStr">
        <is>
          <t>0000100400</t>
        </is>
      </c>
      <c r="C1714" s="3" t="n">
        <v>45997</v>
      </c>
      <c r="D1714" s="3" t="n">
        <v>46027</v>
      </c>
      <c r="E1714" s="4" t="n">
        <v>6852.87</v>
      </c>
      <c r="F1714">
        <f>Summary!$B$3-D1714</f>
        <v/>
      </c>
      <c r="G1714">
        <f>IF(D1714&gt;Summary!$B$3,"Current",IF(F1714&lt;=30,"0-30",IF(F1714&lt;=60,"31-60",IF(F1714&lt;=90,"61-90","90+"))))</f>
        <v/>
      </c>
    </row>
    <row r="1715">
      <c r="A1715" t="inlineStr">
        <is>
          <t>0009028956</t>
        </is>
      </c>
      <c r="B1715" t="inlineStr">
        <is>
          <t>0000100297</t>
        </is>
      </c>
      <c r="C1715" s="3" t="n">
        <v>46002</v>
      </c>
      <c r="D1715" s="3" t="n">
        <v>46032</v>
      </c>
      <c r="E1715" s="4" t="n">
        <v>657.76</v>
      </c>
      <c r="F1715">
        <f>Summary!$B$3-D1715</f>
        <v/>
      </c>
      <c r="G1715">
        <f>IF(D1715&gt;Summary!$B$3,"Current",IF(F1715&lt;=30,"0-30",IF(F1715&lt;=60,"31-60",IF(F1715&lt;=90,"61-90","90+"))))</f>
        <v/>
      </c>
    </row>
    <row r="1716">
      <c r="A1716" t="inlineStr">
        <is>
          <t>0009028957</t>
        </is>
      </c>
      <c r="B1716" t="inlineStr">
        <is>
          <t>0000100055</t>
        </is>
      </c>
      <c r="C1716" s="3" t="n">
        <v>46003</v>
      </c>
      <c r="D1716" s="3" t="n">
        <v>46033</v>
      </c>
      <c r="E1716" s="4" t="n">
        <v>1123.53</v>
      </c>
      <c r="F1716">
        <f>Summary!$B$3-D1716</f>
        <v/>
      </c>
      <c r="G1716">
        <f>IF(D1716&gt;Summary!$B$3,"Current",IF(F1716&lt;=30,"0-30",IF(F1716&lt;=60,"31-60",IF(F1716&lt;=90,"61-90","90+"))))</f>
        <v/>
      </c>
    </row>
    <row r="1717">
      <c r="A1717" t="inlineStr">
        <is>
          <t>0009028958</t>
        </is>
      </c>
      <c r="B1717" t="inlineStr">
        <is>
          <t>0000100339</t>
        </is>
      </c>
      <c r="C1717" s="3" t="n">
        <v>46001</v>
      </c>
      <c r="D1717" s="3" t="n">
        <v>46031</v>
      </c>
      <c r="E1717" s="4" t="n">
        <v>514.4299999999999</v>
      </c>
      <c r="F1717">
        <f>Summary!$B$3-D1717</f>
        <v/>
      </c>
      <c r="G1717">
        <f>IF(D1717&gt;Summary!$B$3,"Current",IF(F1717&lt;=30,"0-30",IF(F1717&lt;=60,"31-60",IF(F1717&lt;=90,"61-90","90+"))))</f>
        <v/>
      </c>
    </row>
    <row r="1718">
      <c r="A1718" t="inlineStr">
        <is>
          <t>0009028959</t>
        </is>
      </c>
      <c r="B1718" t="inlineStr">
        <is>
          <t>0000100145</t>
        </is>
      </c>
      <c r="C1718" s="3" t="n">
        <v>45998</v>
      </c>
      <c r="D1718" s="3" t="n">
        <v>46028</v>
      </c>
      <c r="E1718" s="4" t="n">
        <v>198.2</v>
      </c>
      <c r="F1718">
        <f>Summary!$B$3-D1718</f>
        <v/>
      </c>
      <c r="G1718">
        <f>IF(D1718&gt;Summary!$B$3,"Current",IF(F1718&lt;=30,"0-30",IF(F1718&lt;=60,"31-60",IF(F1718&lt;=90,"61-90","90+"))))</f>
        <v/>
      </c>
    </row>
    <row r="1719">
      <c r="A1719" t="inlineStr">
        <is>
          <t>0009028960</t>
        </is>
      </c>
      <c r="B1719" t="inlineStr">
        <is>
          <t>0000100428</t>
        </is>
      </c>
      <c r="C1719" s="3" t="n">
        <v>46003</v>
      </c>
      <c r="D1719" s="3" t="n">
        <v>46048</v>
      </c>
      <c r="E1719" s="4" t="n">
        <v>3239.8</v>
      </c>
      <c r="F1719">
        <f>Summary!$B$3-D1719</f>
        <v/>
      </c>
      <c r="G1719">
        <f>IF(D1719&gt;Summary!$B$3,"Current",IF(F1719&lt;=30,"0-30",IF(F1719&lt;=60,"31-60",IF(F1719&lt;=90,"61-90","90+"))))</f>
        <v/>
      </c>
    </row>
    <row r="1720">
      <c r="A1720" t="inlineStr">
        <is>
          <t>0009028961</t>
        </is>
      </c>
      <c r="B1720" t="inlineStr">
        <is>
          <t>0000100228</t>
        </is>
      </c>
      <c r="C1720" s="3" t="n">
        <v>46003</v>
      </c>
      <c r="D1720" s="3" t="n">
        <v>46063</v>
      </c>
      <c r="E1720" s="4" t="n">
        <v>35.3</v>
      </c>
      <c r="F1720">
        <f>Summary!$B$3-D1720</f>
        <v/>
      </c>
      <c r="G1720">
        <f>IF(D1720&gt;Summary!$B$3,"Current",IF(F1720&lt;=30,"0-30",IF(F1720&lt;=60,"31-60",IF(F1720&lt;=90,"61-90","90+"))))</f>
        <v/>
      </c>
    </row>
    <row r="1721">
      <c r="A1721" t="inlineStr">
        <is>
          <t>0009028962</t>
        </is>
      </c>
      <c r="B1721" t="inlineStr">
        <is>
          <t>0000100542</t>
        </is>
      </c>
      <c r="C1721" s="3" t="n">
        <v>46001</v>
      </c>
      <c r="D1721" s="3" t="n">
        <v>46061</v>
      </c>
      <c r="E1721" s="4" t="n">
        <v>543.48</v>
      </c>
      <c r="F1721">
        <f>Summary!$B$3-D1721</f>
        <v/>
      </c>
      <c r="G1721">
        <f>IF(D1721&gt;Summary!$B$3,"Current",IF(F1721&lt;=30,"0-30",IF(F1721&lt;=60,"31-60",IF(F1721&lt;=90,"61-90","90+"))))</f>
        <v/>
      </c>
    </row>
    <row r="1722">
      <c r="A1722" t="inlineStr">
        <is>
          <t>0009028964</t>
        </is>
      </c>
      <c r="B1722" t="inlineStr">
        <is>
          <t>0000100185</t>
        </is>
      </c>
      <c r="C1722" s="3" t="n">
        <v>46003</v>
      </c>
      <c r="D1722" s="3" t="n">
        <v>46033</v>
      </c>
      <c r="E1722" s="4" t="n">
        <v>2688.48</v>
      </c>
      <c r="F1722">
        <f>Summary!$B$3-D1722</f>
        <v/>
      </c>
      <c r="G1722">
        <f>IF(D1722&gt;Summary!$B$3,"Current",IF(F1722&lt;=30,"0-30",IF(F1722&lt;=60,"31-60",IF(F1722&lt;=90,"61-90","90+"))))</f>
        <v/>
      </c>
    </row>
    <row r="1723">
      <c r="A1723" t="inlineStr">
        <is>
          <t>0009028965</t>
        </is>
      </c>
      <c r="B1723" t="inlineStr">
        <is>
          <t>0000100158</t>
        </is>
      </c>
      <c r="C1723" s="3" t="n">
        <v>46001</v>
      </c>
      <c r="D1723" s="3" t="n">
        <v>46031</v>
      </c>
      <c r="E1723" s="4" t="n">
        <v>510.85</v>
      </c>
      <c r="F1723">
        <f>Summary!$B$3-D1723</f>
        <v/>
      </c>
      <c r="G1723">
        <f>IF(D1723&gt;Summary!$B$3,"Current",IF(F1723&lt;=30,"0-30",IF(F1723&lt;=60,"31-60",IF(F1723&lt;=90,"61-90","90+"))))</f>
        <v/>
      </c>
    </row>
    <row r="1724">
      <c r="A1724" t="inlineStr">
        <is>
          <t>0009028966</t>
        </is>
      </c>
      <c r="B1724" t="inlineStr">
        <is>
          <t>0000100106</t>
        </is>
      </c>
      <c r="C1724" s="3" t="n">
        <v>46001</v>
      </c>
      <c r="D1724" s="3" t="n">
        <v>46046</v>
      </c>
      <c r="E1724" s="4" t="n">
        <v>929.1799999999999</v>
      </c>
      <c r="F1724">
        <f>Summary!$B$3-D1724</f>
        <v/>
      </c>
      <c r="G1724">
        <f>IF(D1724&gt;Summary!$B$3,"Current",IF(F1724&lt;=30,"0-30",IF(F1724&lt;=60,"31-60",IF(F1724&lt;=90,"61-90","90+"))))</f>
        <v/>
      </c>
    </row>
    <row r="1725">
      <c r="A1725" t="inlineStr">
        <is>
          <t>0009028967</t>
        </is>
      </c>
      <c r="B1725" t="inlineStr">
        <is>
          <t>0000100409</t>
        </is>
      </c>
      <c r="C1725" s="3" t="n">
        <v>45995</v>
      </c>
      <c r="D1725" s="3" t="n">
        <v>46025</v>
      </c>
      <c r="E1725" s="4" t="n">
        <v>612.3</v>
      </c>
      <c r="F1725">
        <f>Summary!$B$3-D1725</f>
        <v/>
      </c>
      <c r="G1725">
        <f>IF(D1725&gt;Summary!$B$3,"Current",IF(F1725&lt;=30,"0-30",IF(F1725&lt;=60,"31-60",IF(F1725&lt;=90,"61-90","90+"))))</f>
        <v/>
      </c>
    </row>
    <row r="1726">
      <c r="A1726" t="inlineStr">
        <is>
          <t>0009028968</t>
        </is>
      </c>
      <c r="B1726" t="inlineStr">
        <is>
          <t>0000100089</t>
        </is>
      </c>
      <c r="C1726" s="3" t="n">
        <v>46000</v>
      </c>
      <c r="D1726" s="3" t="n">
        <v>46045</v>
      </c>
      <c r="E1726" s="4" t="n">
        <v>3047.09</v>
      </c>
      <c r="F1726">
        <f>Summary!$B$3-D1726</f>
        <v/>
      </c>
      <c r="G1726">
        <f>IF(D1726&gt;Summary!$B$3,"Current",IF(F1726&lt;=30,"0-30",IF(F1726&lt;=60,"31-60",IF(F1726&lt;=90,"61-90","90+"))))</f>
        <v/>
      </c>
    </row>
    <row r="1727">
      <c r="A1727" t="inlineStr">
        <is>
          <t>0009028969</t>
        </is>
      </c>
      <c r="B1727" t="inlineStr">
        <is>
          <t>0000100386</t>
        </is>
      </c>
      <c r="C1727" s="3" t="n">
        <v>45998</v>
      </c>
      <c r="D1727" s="3" t="n">
        <v>46028</v>
      </c>
      <c r="E1727" s="4" t="n">
        <v>1137.3</v>
      </c>
      <c r="F1727">
        <f>Summary!$B$3-D1727</f>
        <v/>
      </c>
      <c r="G1727">
        <f>IF(D1727&gt;Summary!$B$3,"Current",IF(F1727&lt;=30,"0-30",IF(F1727&lt;=60,"31-60",IF(F1727&lt;=90,"61-90","90+"))))</f>
        <v/>
      </c>
    </row>
    <row r="1728">
      <c r="A1728" t="inlineStr">
        <is>
          <t>0009028970</t>
        </is>
      </c>
      <c r="B1728" t="inlineStr">
        <is>
          <t>0000100581</t>
        </is>
      </c>
      <c r="C1728" s="3" t="n">
        <v>45999</v>
      </c>
      <c r="D1728" s="3" t="n">
        <v>46029</v>
      </c>
      <c r="E1728" s="4" t="n">
        <v>1584.43</v>
      </c>
      <c r="F1728">
        <f>Summary!$B$3-D1728</f>
        <v/>
      </c>
      <c r="G1728">
        <f>IF(D1728&gt;Summary!$B$3,"Current",IF(F1728&lt;=30,"0-30",IF(F1728&lt;=60,"31-60",IF(F1728&lt;=90,"61-90","90+"))))</f>
        <v/>
      </c>
    </row>
    <row r="1729">
      <c r="A1729" t="inlineStr">
        <is>
          <t>0009028971</t>
        </is>
      </c>
      <c r="B1729" t="inlineStr">
        <is>
          <t>0000100037</t>
        </is>
      </c>
      <c r="C1729" s="3" t="n">
        <v>46000</v>
      </c>
      <c r="D1729" s="3" t="n">
        <v>46045</v>
      </c>
      <c r="E1729" s="4" t="n">
        <v>258.46</v>
      </c>
      <c r="F1729">
        <f>Summary!$B$3-D1729</f>
        <v/>
      </c>
      <c r="G1729">
        <f>IF(D1729&gt;Summary!$B$3,"Current",IF(F1729&lt;=30,"0-30",IF(F1729&lt;=60,"31-60",IF(F1729&lt;=90,"61-90","90+"))))</f>
        <v/>
      </c>
    </row>
    <row r="1730">
      <c r="A1730" t="inlineStr">
        <is>
          <t>0009028972</t>
        </is>
      </c>
      <c r="B1730" t="inlineStr">
        <is>
          <t>0000100267</t>
        </is>
      </c>
      <c r="C1730" s="3" t="n">
        <v>45996</v>
      </c>
      <c r="D1730" s="3" t="n">
        <v>46041</v>
      </c>
      <c r="E1730" s="4" t="n">
        <v>136.08</v>
      </c>
      <c r="F1730">
        <f>Summary!$B$3-D1730</f>
        <v/>
      </c>
      <c r="G1730">
        <f>IF(D1730&gt;Summary!$B$3,"Current",IF(F1730&lt;=30,"0-30",IF(F1730&lt;=60,"31-60",IF(F1730&lt;=90,"61-90","90+"))))</f>
        <v/>
      </c>
    </row>
    <row r="1731">
      <c r="A1731" t="inlineStr">
        <is>
          <t>0009028973</t>
        </is>
      </c>
      <c r="B1731" t="inlineStr">
        <is>
          <t>0000100393</t>
        </is>
      </c>
      <c r="C1731" s="3" t="n">
        <v>46002</v>
      </c>
      <c r="D1731" s="3" t="n">
        <v>46032</v>
      </c>
      <c r="E1731" s="4" t="n">
        <v>369.61</v>
      </c>
      <c r="F1731">
        <f>Summary!$B$3-D1731</f>
        <v/>
      </c>
      <c r="G1731">
        <f>IF(D1731&gt;Summary!$B$3,"Current",IF(F1731&lt;=30,"0-30",IF(F1731&lt;=60,"31-60",IF(F1731&lt;=90,"61-90","90+"))))</f>
        <v/>
      </c>
    </row>
    <row r="1732">
      <c r="A1732" t="inlineStr">
        <is>
          <t>0009028974</t>
        </is>
      </c>
      <c r="B1732" t="inlineStr">
        <is>
          <t>0000100272</t>
        </is>
      </c>
      <c r="C1732" s="3" t="n">
        <v>46001</v>
      </c>
      <c r="D1732" s="3" t="n">
        <v>46061</v>
      </c>
      <c r="E1732" s="4" t="n">
        <v>375.15</v>
      </c>
      <c r="F1732">
        <f>Summary!$B$3-D1732</f>
        <v/>
      </c>
      <c r="G1732">
        <f>IF(D1732&gt;Summary!$B$3,"Current",IF(F1732&lt;=30,"0-30",IF(F1732&lt;=60,"31-60",IF(F1732&lt;=90,"61-90","90+"))))</f>
        <v/>
      </c>
    </row>
    <row r="1733">
      <c r="A1733" t="inlineStr">
        <is>
          <t>0009028975</t>
        </is>
      </c>
      <c r="B1733" t="inlineStr">
        <is>
          <t>0000100477</t>
        </is>
      </c>
      <c r="C1733" s="3" t="n">
        <v>46003</v>
      </c>
      <c r="D1733" s="3" t="n">
        <v>46033</v>
      </c>
      <c r="E1733" s="4" t="n">
        <v>420.79</v>
      </c>
      <c r="F1733">
        <f>Summary!$B$3-D1733</f>
        <v/>
      </c>
      <c r="G1733">
        <f>IF(D1733&gt;Summary!$B$3,"Current",IF(F1733&lt;=30,"0-30",IF(F1733&lt;=60,"31-60",IF(F1733&lt;=90,"61-90","90+"))))</f>
        <v/>
      </c>
    </row>
    <row r="1734">
      <c r="A1734" t="inlineStr">
        <is>
          <t>0009028976</t>
        </is>
      </c>
      <c r="B1734" t="inlineStr">
        <is>
          <t>0000100115</t>
        </is>
      </c>
      <c r="C1734" s="3" t="n">
        <v>46006</v>
      </c>
      <c r="D1734" s="3" t="n">
        <v>46036</v>
      </c>
      <c r="E1734" s="4" t="n">
        <v>133.22</v>
      </c>
      <c r="F1734">
        <f>Summary!$B$3-D1734</f>
        <v/>
      </c>
      <c r="G1734">
        <f>IF(D1734&gt;Summary!$B$3,"Current",IF(F1734&lt;=30,"0-30",IF(F1734&lt;=60,"31-60",IF(F1734&lt;=90,"61-90","90+"))))</f>
        <v/>
      </c>
    </row>
    <row r="1735">
      <c r="A1735" t="inlineStr">
        <is>
          <t>0009028977</t>
        </is>
      </c>
      <c r="B1735" t="inlineStr">
        <is>
          <t>0000100384</t>
        </is>
      </c>
      <c r="C1735" s="3" t="n">
        <v>46000</v>
      </c>
      <c r="D1735" s="3" t="n">
        <v>46030</v>
      </c>
      <c r="E1735" s="4" t="n">
        <v>783.75</v>
      </c>
      <c r="F1735">
        <f>Summary!$B$3-D1735</f>
        <v/>
      </c>
      <c r="G1735">
        <f>IF(D1735&gt;Summary!$B$3,"Current",IF(F1735&lt;=30,"0-30",IF(F1735&lt;=60,"31-60",IF(F1735&lt;=90,"61-90","90+"))))</f>
        <v/>
      </c>
    </row>
    <row r="1736">
      <c r="A1736" t="inlineStr">
        <is>
          <t>0009028978</t>
        </is>
      </c>
      <c r="B1736" t="inlineStr">
        <is>
          <t>0000100520</t>
        </is>
      </c>
      <c r="C1736" s="3" t="n">
        <v>46007</v>
      </c>
      <c r="D1736" s="3" t="n">
        <v>46052</v>
      </c>
      <c r="E1736" s="4" t="n">
        <v>681</v>
      </c>
      <c r="F1736">
        <f>Summary!$B$3-D1736</f>
        <v/>
      </c>
      <c r="G1736">
        <f>IF(D1736&gt;Summary!$B$3,"Current",IF(F1736&lt;=30,"0-30",IF(F1736&lt;=60,"31-60",IF(F1736&lt;=90,"61-90","90+"))))</f>
        <v/>
      </c>
    </row>
    <row r="1737">
      <c r="A1737" t="inlineStr">
        <is>
          <t>0009028979</t>
        </is>
      </c>
      <c r="B1737" t="inlineStr">
        <is>
          <t>0000100016</t>
        </is>
      </c>
      <c r="C1737" s="3" t="n">
        <v>46003</v>
      </c>
      <c r="D1737" s="3" t="n">
        <v>46048</v>
      </c>
      <c r="E1737" s="4" t="n">
        <v>795.22</v>
      </c>
      <c r="F1737">
        <f>Summary!$B$3-D1737</f>
        <v/>
      </c>
      <c r="G1737">
        <f>IF(D1737&gt;Summary!$B$3,"Current",IF(F1737&lt;=30,"0-30",IF(F1737&lt;=60,"31-60",IF(F1737&lt;=90,"61-90","90+"))))</f>
        <v/>
      </c>
    </row>
    <row r="1738">
      <c r="A1738" t="inlineStr">
        <is>
          <t>0009028980</t>
        </is>
      </c>
      <c r="B1738" t="inlineStr">
        <is>
          <t>0000100589</t>
        </is>
      </c>
      <c r="C1738" s="3" t="n">
        <v>46004</v>
      </c>
      <c r="D1738" s="3" t="n">
        <v>46049</v>
      </c>
      <c r="E1738" s="4" t="n">
        <v>659.3</v>
      </c>
      <c r="F1738">
        <f>Summary!$B$3-D1738</f>
        <v/>
      </c>
      <c r="G1738">
        <f>IF(D1738&gt;Summary!$B$3,"Current",IF(F1738&lt;=30,"0-30",IF(F1738&lt;=60,"31-60",IF(F1738&lt;=90,"61-90","90+"))))</f>
        <v/>
      </c>
    </row>
    <row r="1739">
      <c r="A1739" t="inlineStr">
        <is>
          <t>0009028981</t>
        </is>
      </c>
      <c r="B1739" t="inlineStr">
        <is>
          <t>0000100000</t>
        </is>
      </c>
      <c r="C1739" s="3" t="n">
        <v>46005</v>
      </c>
      <c r="D1739" s="3" t="n">
        <v>46035</v>
      </c>
      <c r="E1739" s="4" t="n">
        <v>1642.62</v>
      </c>
      <c r="F1739">
        <f>Summary!$B$3-D1739</f>
        <v/>
      </c>
      <c r="G1739">
        <f>IF(D1739&gt;Summary!$B$3,"Current",IF(F1739&lt;=30,"0-30",IF(F1739&lt;=60,"31-60",IF(F1739&lt;=90,"61-90","90+"))))</f>
        <v/>
      </c>
    </row>
    <row r="1740">
      <c r="A1740" t="inlineStr">
        <is>
          <t>0009028983</t>
        </is>
      </c>
      <c r="B1740" t="inlineStr">
        <is>
          <t>0000100223</t>
        </is>
      </c>
      <c r="C1740" s="3" t="n">
        <v>46002</v>
      </c>
      <c r="D1740" s="3" t="n">
        <v>46047</v>
      </c>
      <c r="E1740" s="4" t="n">
        <v>1213.62</v>
      </c>
      <c r="F1740">
        <f>Summary!$B$3-D1740</f>
        <v/>
      </c>
      <c r="G1740">
        <f>IF(D1740&gt;Summary!$B$3,"Current",IF(F1740&lt;=30,"0-30",IF(F1740&lt;=60,"31-60",IF(F1740&lt;=90,"61-90","90+"))))</f>
        <v/>
      </c>
    </row>
    <row r="1741">
      <c r="A1741" t="inlineStr">
        <is>
          <t>0009028985</t>
        </is>
      </c>
      <c r="B1741" t="inlineStr">
        <is>
          <t>0000100564</t>
        </is>
      </c>
      <c r="C1741" s="3" t="n">
        <v>46004</v>
      </c>
      <c r="D1741" s="3" t="n">
        <v>46034</v>
      </c>
      <c r="E1741" s="4" t="n">
        <v>141.02</v>
      </c>
      <c r="F1741">
        <f>Summary!$B$3-D1741</f>
        <v/>
      </c>
      <c r="G1741">
        <f>IF(D1741&gt;Summary!$B$3,"Current",IF(F1741&lt;=30,"0-30",IF(F1741&lt;=60,"31-60",IF(F1741&lt;=90,"61-90","90+"))))</f>
        <v/>
      </c>
    </row>
    <row r="1742">
      <c r="A1742" t="inlineStr">
        <is>
          <t>0009028986</t>
        </is>
      </c>
      <c r="B1742" t="inlineStr">
        <is>
          <t>0000100163</t>
        </is>
      </c>
      <c r="C1742" s="3" t="n">
        <v>46001</v>
      </c>
      <c r="D1742" s="3" t="n">
        <v>46031</v>
      </c>
      <c r="E1742" s="4" t="n">
        <v>1771.45</v>
      </c>
      <c r="F1742">
        <f>Summary!$B$3-D1742</f>
        <v/>
      </c>
      <c r="G1742">
        <f>IF(D1742&gt;Summary!$B$3,"Current",IF(F1742&lt;=30,"0-30",IF(F1742&lt;=60,"31-60",IF(F1742&lt;=90,"61-90","90+"))))</f>
        <v/>
      </c>
    </row>
    <row r="1743">
      <c r="A1743" t="inlineStr">
        <is>
          <t>0009028987</t>
        </is>
      </c>
      <c r="B1743" t="inlineStr">
        <is>
          <t>0000100522</t>
        </is>
      </c>
      <c r="C1743" s="3" t="n">
        <v>46004</v>
      </c>
      <c r="D1743" s="3" t="n">
        <v>46064</v>
      </c>
      <c r="E1743" s="4" t="n">
        <v>941.12</v>
      </c>
      <c r="F1743">
        <f>Summary!$B$3-D1743</f>
        <v/>
      </c>
      <c r="G1743">
        <f>IF(D1743&gt;Summary!$B$3,"Current",IF(F1743&lt;=30,"0-30",IF(F1743&lt;=60,"31-60",IF(F1743&lt;=90,"61-90","90+"))))</f>
        <v/>
      </c>
    </row>
    <row r="1744">
      <c r="A1744" t="inlineStr">
        <is>
          <t>0009028988</t>
        </is>
      </c>
      <c r="B1744" t="inlineStr">
        <is>
          <t>0000100164</t>
        </is>
      </c>
      <c r="C1744" s="3" t="n">
        <v>45995</v>
      </c>
      <c r="D1744" s="3" t="n">
        <v>46055</v>
      </c>
      <c r="E1744" s="4" t="n">
        <v>276.3</v>
      </c>
      <c r="F1744">
        <f>Summary!$B$3-D1744</f>
        <v/>
      </c>
      <c r="G1744">
        <f>IF(D1744&gt;Summary!$B$3,"Current",IF(F1744&lt;=30,"0-30",IF(F1744&lt;=60,"31-60",IF(F1744&lt;=90,"61-90","90+"))))</f>
        <v/>
      </c>
    </row>
    <row r="1745">
      <c r="A1745" t="inlineStr">
        <is>
          <t>0009028989</t>
        </is>
      </c>
      <c r="B1745" t="inlineStr">
        <is>
          <t>0000100490</t>
        </is>
      </c>
      <c r="C1745" s="3" t="n">
        <v>46002</v>
      </c>
      <c r="D1745" s="3" t="n">
        <v>46032</v>
      </c>
      <c r="E1745" s="4" t="n">
        <v>838.12</v>
      </c>
      <c r="F1745">
        <f>Summary!$B$3-D1745</f>
        <v/>
      </c>
      <c r="G1745">
        <f>IF(D1745&gt;Summary!$B$3,"Current",IF(F1745&lt;=30,"0-30",IF(F1745&lt;=60,"31-60",IF(F1745&lt;=90,"61-90","90+"))))</f>
        <v/>
      </c>
    </row>
    <row r="1746">
      <c r="A1746" t="inlineStr">
        <is>
          <t>0009028990</t>
        </is>
      </c>
      <c r="B1746" t="inlineStr">
        <is>
          <t>0000100018</t>
        </is>
      </c>
      <c r="C1746" s="3" t="n">
        <v>45999</v>
      </c>
      <c r="D1746" s="3" t="n">
        <v>46029</v>
      </c>
      <c r="E1746" s="4" t="n">
        <v>174.67</v>
      </c>
      <c r="F1746">
        <f>Summary!$B$3-D1746</f>
        <v/>
      </c>
      <c r="G1746">
        <f>IF(D1746&gt;Summary!$B$3,"Current",IF(F1746&lt;=30,"0-30",IF(F1746&lt;=60,"31-60",IF(F1746&lt;=90,"61-90","90+"))))</f>
        <v/>
      </c>
    </row>
    <row r="1747">
      <c r="A1747" t="inlineStr">
        <is>
          <t>0009028991</t>
        </is>
      </c>
      <c r="B1747" t="inlineStr">
        <is>
          <t>0000100576</t>
        </is>
      </c>
      <c r="C1747" s="3" t="n">
        <v>46002</v>
      </c>
      <c r="D1747" s="3" t="n">
        <v>46032</v>
      </c>
      <c r="E1747" s="4" t="n">
        <v>1034.49</v>
      </c>
      <c r="F1747">
        <f>Summary!$B$3-D1747</f>
        <v/>
      </c>
      <c r="G1747">
        <f>IF(D1747&gt;Summary!$B$3,"Current",IF(F1747&lt;=30,"0-30",IF(F1747&lt;=60,"31-60",IF(F1747&lt;=90,"61-90","90+"))))</f>
        <v/>
      </c>
    </row>
    <row r="1748">
      <c r="A1748" t="inlineStr">
        <is>
          <t>0009028992</t>
        </is>
      </c>
      <c r="B1748" t="inlineStr">
        <is>
          <t>0000100102</t>
        </is>
      </c>
      <c r="C1748" s="3" t="n">
        <v>45998</v>
      </c>
      <c r="D1748" s="3" t="n">
        <v>46028</v>
      </c>
      <c r="E1748" s="4" t="n">
        <v>721.83</v>
      </c>
      <c r="F1748">
        <f>Summary!$B$3-D1748</f>
        <v/>
      </c>
      <c r="G1748">
        <f>IF(D1748&gt;Summary!$B$3,"Current",IF(F1748&lt;=30,"0-30",IF(F1748&lt;=60,"31-60",IF(F1748&lt;=90,"61-90","90+"))))</f>
        <v/>
      </c>
    </row>
    <row r="1749">
      <c r="A1749" t="inlineStr">
        <is>
          <t>0009028993</t>
        </is>
      </c>
      <c r="B1749" t="inlineStr">
        <is>
          <t>0000100116</t>
        </is>
      </c>
      <c r="C1749" s="3" t="n">
        <v>46001</v>
      </c>
      <c r="D1749" s="3" t="n">
        <v>46046</v>
      </c>
      <c r="E1749" s="4" t="n">
        <v>108.44</v>
      </c>
      <c r="F1749">
        <f>Summary!$B$3-D1749</f>
        <v/>
      </c>
      <c r="G1749">
        <f>IF(D1749&gt;Summary!$B$3,"Current",IF(F1749&lt;=30,"0-30",IF(F1749&lt;=60,"31-60",IF(F1749&lt;=90,"61-90","90+"))))</f>
        <v/>
      </c>
    </row>
    <row r="1750">
      <c r="A1750" t="inlineStr">
        <is>
          <t>0009028994</t>
        </is>
      </c>
      <c r="B1750" t="inlineStr">
        <is>
          <t>0000100068</t>
        </is>
      </c>
      <c r="C1750" s="3" t="n">
        <v>46000</v>
      </c>
      <c r="D1750" s="3" t="n">
        <v>46030</v>
      </c>
      <c r="E1750" s="4" t="n">
        <v>957.0700000000001</v>
      </c>
      <c r="F1750">
        <f>Summary!$B$3-D1750</f>
        <v/>
      </c>
      <c r="G1750">
        <f>IF(D1750&gt;Summary!$B$3,"Current",IF(F1750&lt;=30,"0-30",IF(F1750&lt;=60,"31-60",IF(F1750&lt;=90,"61-90","90+"))))</f>
        <v/>
      </c>
    </row>
    <row r="1751">
      <c r="A1751" t="inlineStr">
        <is>
          <t>0009028995</t>
        </is>
      </c>
      <c r="B1751" t="inlineStr">
        <is>
          <t>0000100504</t>
        </is>
      </c>
      <c r="C1751" s="3" t="n">
        <v>46007</v>
      </c>
      <c r="D1751" s="3" t="n">
        <v>46037</v>
      </c>
      <c r="E1751" s="4" t="n">
        <v>788.0599999999999</v>
      </c>
      <c r="F1751">
        <f>Summary!$B$3-D1751</f>
        <v/>
      </c>
      <c r="G1751">
        <f>IF(D1751&gt;Summary!$B$3,"Current",IF(F1751&lt;=30,"0-30",IF(F1751&lt;=60,"31-60",IF(F1751&lt;=90,"61-90","90+"))))</f>
        <v/>
      </c>
    </row>
    <row r="1752">
      <c r="A1752" t="inlineStr">
        <is>
          <t>0009028996</t>
        </is>
      </c>
      <c r="B1752" t="inlineStr">
        <is>
          <t>0000100522</t>
        </is>
      </c>
      <c r="C1752" s="3" t="n">
        <v>46002</v>
      </c>
      <c r="D1752" s="3" t="n">
        <v>46062</v>
      </c>
      <c r="E1752" s="4" t="n">
        <v>173.91</v>
      </c>
      <c r="F1752">
        <f>Summary!$B$3-D1752</f>
        <v/>
      </c>
      <c r="G1752">
        <f>IF(D1752&gt;Summary!$B$3,"Current",IF(F1752&lt;=30,"0-30",IF(F1752&lt;=60,"31-60",IF(F1752&lt;=90,"61-90","90+"))))</f>
        <v/>
      </c>
    </row>
    <row r="1753">
      <c r="A1753" t="inlineStr">
        <is>
          <t>0009028998</t>
        </is>
      </c>
      <c r="B1753" t="inlineStr">
        <is>
          <t>0000100465</t>
        </is>
      </c>
      <c r="C1753" s="3" t="n">
        <v>46005</v>
      </c>
      <c r="D1753" s="3" t="n">
        <v>46065</v>
      </c>
      <c r="E1753" s="4" t="n">
        <v>537.72</v>
      </c>
      <c r="F1753">
        <f>Summary!$B$3-D1753</f>
        <v/>
      </c>
      <c r="G1753">
        <f>IF(D1753&gt;Summary!$B$3,"Current",IF(F1753&lt;=30,"0-30",IF(F1753&lt;=60,"31-60",IF(F1753&lt;=90,"61-90","90+"))))</f>
        <v/>
      </c>
    </row>
    <row r="1754">
      <c r="A1754" t="inlineStr">
        <is>
          <t>0009028999</t>
        </is>
      </c>
      <c r="B1754" t="inlineStr">
        <is>
          <t>0000100004</t>
        </is>
      </c>
      <c r="C1754" s="3" t="n">
        <v>46003</v>
      </c>
      <c r="D1754" s="3" t="n">
        <v>46063</v>
      </c>
      <c r="E1754" s="4" t="n">
        <v>418.41</v>
      </c>
      <c r="F1754">
        <f>Summary!$B$3-D1754</f>
        <v/>
      </c>
      <c r="G1754">
        <f>IF(D1754&gt;Summary!$B$3,"Current",IF(F1754&lt;=30,"0-30",IF(F1754&lt;=60,"31-60",IF(F1754&lt;=90,"61-90","90+"))))</f>
        <v/>
      </c>
    </row>
    <row r="1755">
      <c r="A1755" t="inlineStr">
        <is>
          <t>0009029000</t>
        </is>
      </c>
      <c r="B1755" t="inlineStr">
        <is>
          <t>0000100538</t>
        </is>
      </c>
      <c r="C1755" s="3" t="n">
        <v>46003</v>
      </c>
      <c r="D1755" s="3" t="n">
        <v>46033</v>
      </c>
      <c r="E1755" s="4" t="n">
        <v>637.04</v>
      </c>
      <c r="F1755">
        <f>Summary!$B$3-D1755</f>
        <v/>
      </c>
      <c r="G1755">
        <f>IF(D1755&gt;Summary!$B$3,"Current",IF(F1755&lt;=30,"0-30",IF(F1755&lt;=60,"31-60",IF(F1755&lt;=90,"61-90","90+"))))</f>
        <v/>
      </c>
    </row>
    <row r="1756">
      <c r="A1756" t="inlineStr">
        <is>
          <t>0009029001</t>
        </is>
      </c>
      <c r="B1756" t="inlineStr">
        <is>
          <t>0000100393</t>
        </is>
      </c>
      <c r="C1756" s="3" t="n">
        <v>46004</v>
      </c>
      <c r="D1756" s="3" t="n">
        <v>46034</v>
      </c>
      <c r="E1756" s="4" t="n">
        <v>1923.51</v>
      </c>
      <c r="F1756">
        <f>Summary!$B$3-D1756</f>
        <v/>
      </c>
      <c r="G1756">
        <f>IF(D1756&gt;Summary!$B$3,"Current",IF(F1756&lt;=30,"0-30",IF(F1756&lt;=60,"31-60",IF(F1756&lt;=90,"61-90","90+"))))</f>
        <v/>
      </c>
    </row>
    <row r="1757">
      <c r="A1757" t="inlineStr">
        <is>
          <t>0009029002</t>
        </is>
      </c>
      <c r="B1757" t="inlineStr">
        <is>
          <t>0000100107</t>
        </is>
      </c>
      <c r="C1757" s="3" t="n">
        <v>46004</v>
      </c>
      <c r="D1757" s="3" t="n">
        <v>46049</v>
      </c>
      <c r="E1757" s="4" t="n">
        <v>189.64</v>
      </c>
      <c r="F1757">
        <f>Summary!$B$3-D1757</f>
        <v/>
      </c>
      <c r="G1757">
        <f>IF(D1757&gt;Summary!$B$3,"Current",IF(F1757&lt;=30,"0-30",IF(F1757&lt;=60,"31-60",IF(F1757&lt;=90,"61-90","90+"))))</f>
        <v/>
      </c>
    </row>
    <row r="1758">
      <c r="A1758" t="inlineStr">
        <is>
          <t>0009029003</t>
        </is>
      </c>
      <c r="B1758" t="inlineStr">
        <is>
          <t>0000100315</t>
        </is>
      </c>
      <c r="C1758" s="3" t="n">
        <v>46003</v>
      </c>
      <c r="D1758" s="3" t="n">
        <v>46063</v>
      </c>
      <c r="E1758" s="4" t="n">
        <v>443.09</v>
      </c>
      <c r="F1758">
        <f>Summary!$B$3-D1758</f>
        <v/>
      </c>
      <c r="G1758">
        <f>IF(D1758&gt;Summary!$B$3,"Current",IF(F1758&lt;=30,"0-30",IF(F1758&lt;=60,"31-60",IF(F1758&lt;=90,"61-90","90+"))))</f>
        <v/>
      </c>
    </row>
    <row r="1759">
      <c r="A1759" t="inlineStr">
        <is>
          <t>0009029004</t>
        </is>
      </c>
      <c r="B1759" t="inlineStr">
        <is>
          <t>0000100321</t>
        </is>
      </c>
      <c r="C1759" s="3" t="n">
        <v>46002</v>
      </c>
      <c r="D1759" s="3" t="n">
        <v>46062</v>
      </c>
      <c r="E1759" s="4" t="n">
        <v>840.24</v>
      </c>
      <c r="F1759">
        <f>Summary!$B$3-D1759</f>
        <v/>
      </c>
      <c r="G1759">
        <f>IF(D1759&gt;Summary!$B$3,"Current",IF(F1759&lt;=30,"0-30",IF(F1759&lt;=60,"31-60",IF(F1759&lt;=90,"61-90","90+"))))</f>
        <v/>
      </c>
    </row>
    <row r="1760">
      <c r="A1760" t="inlineStr">
        <is>
          <t>0009029005</t>
        </is>
      </c>
      <c r="B1760" t="inlineStr">
        <is>
          <t>0000100278</t>
        </is>
      </c>
      <c r="C1760" s="3" t="n">
        <v>46002</v>
      </c>
      <c r="D1760" s="3" t="n">
        <v>46047</v>
      </c>
      <c r="E1760" s="4" t="n">
        <v>6614.61</v>
      </c>
      <c r="F1760">
        <f>Summary!$B$3-D1760</f>
        <v/>
      </c>
      <c r="G1760">
        <f>IF(D1760&gt;Summary!$B$3,"Current",IF(F1760&lt;=30,"0-30",IF(F1760&lt;=60,"31-60",IF(F1760&lt;=90,"61-90","90+"))))</f>
        <v/>
      </c>
    </row>
    <row r="1761">
      <c r="A1761" t="inlineStr">
        <is>
          <t>0009029006</t>
        </is>
      </c>
      <c r="B1761" t="inlineStr">
        <is>
          <t>0000100530</t>
        </is>
      </c>
      <c r="C1761" s="3" t="n">
        <v>45999</v>
      </c>
      <c r="D1761" s="3" t="n">
        <v>46059</v>
      </c>
      <c r="E1761" s="4" t="n">
        <v>293.48</v>
      </c>
      <c r="F1761">
        <f>Summary!$B$3-D1761</f>
        <v/>
      </c>
      <c r="G1761">
        <f>IF(D1761&gt;Summary!$B$3,"Current",IF(F1761&lt;=30,"0-30",IF(F1761&lt;=60,"31-60",IF(F1761&lt;=90,"61-90","90+"))))</f>
        <v/>
      </c>
    </row>
    <row r="1762">
      <c r="A1762" t="inlineStr">
        <is>
          <t>0009029007</t>
        </is>
      </c>
      <c r="B1762" t="inlineStr">
        <is>
          <t>0000100187</t>
        </is>
      </c>
      <c r="C1762" s="3" t="n">
        <v>45999</v>
      </c>
      <c r="D1762" s="3" t="n">
        <v>46029</v>
      </c>
      <c r="E1762" s="4" t="n">
        <v>858.39</v>
      </c>
      <c r="F1762">
        <f>Summary!$B$3-D1762</f>
        <v/>
      </c>
      <c r="G1762">
        <f>IF(D1762&gt;Summary!$B$3,"Current",IF(F1762&lt;=30,"0-30",IF(F1762&lt;=60,"31-60",IF(F1762&lt;=90,"61-90","90+"))))</f>
        <v/>
      </c>
    </row>
    <row r="1763">
      <c r="A1763" t="inlineStr">
        <is>
          <t>0009029008</t>
        </is>
      </c>
      <c r="B1763" t="inlineStr">
        <is>
          <t>0000100243</t>
        </is>
      </c>
      <c r="C1763" s="3" t="n">
        <v>46000</v>
      </c>
      <c r="D1763" s="3" t="n">
        <v>46030</v>
      </c>
      <c r="E1763" s="4" t="n">
        <v>446.26</v>
      </c>
      <c r="F1763">
        <f>Summary!$B$3-D1763</f>
        <v/>
      </c>
      <c r="G1763">
        <f>IF(D1763&gt;Summary!$B$3,"Current",IF(F1763&lt;=30,"0-30",IF(F1763&lt;=60,"31-60",IF(F1763&lt;=90,"61-90","90+"))))</f>
        <v/>
      </c>
    </row>
    <row r="1764">
      <c r="A1764" t="inlineStr">
        <is>
          <t>0009029009</t>
        </is>
      </c>
      <c r="B1764" t="inlineStr">
        <is>
          <t>0000100292</t>
        </is>
      </c>
      <c r="C1764" s="3" t="n">
        <v>45999</v>
      </c>
      <c r="D1764" s="3" t="n">
        <v>46029</v>
      </c>
      <c r="E1764" s="4" t="n">
        <v>2425.38</v>
      </c>
      <c r="F1764">
        <f>Summary!$B$3-D1764</f>
        <v/>
      </c>
      <c r="G1764">
        <f>IF(D1764&gt;Summary!$B$3,"Current",IF(F1764&lt;=30,"0-30",IF(F1764&lt;=60,"31-60",IF(F1764&lt;=90,"61-90","90+"))))</f>
        <v/>
      </c>
    </row>
    <row r="1765">
      <c r="A1765" t="inlineStr">
        <is>
          <t>0009029010</t>
        </is>
      </c>
      <c r="B1765" t="inlineStr">
        <is>
          <t>0000100412</t>
        </is>
      </c>
      <c r="C1765" s="3" t="n">
        <v>46006</v>
      </c>
      <c r="D1765" s="3" t="n">
        <v>46036</v>
      </c>
      <c r="E1765" s="4" t="n">
        <v>516.37</v>
      </c>
      <c r="F1765">
        <f>Summary!$B$3-D1765</f>
        <v/>
      </c>
      <c r="G1765">
        <f>IF(D1765&gt;Summary!$B$3,"Current",IF(F1765&lt;=30,"0-30",IF(F1765&lt;=60,"31-60",IF(F1765&lt;=90,"61-90","90+"))))</f>
        <v/>
      </c>
    </row>
    <row r="1766">
      <c r="A1766" t="inlineStr">
        <is>
          <t>0009029011</t>
        </is>
      </c>
      <c r="B1766" t="inlineStr">
        <is>
          <t>0000100383</t>
        </is>
      </c>
      <c r="C1766" s="3" t="n">
        <v>46001</v>
      </c>
      <c r="D1766" s="3" t="n">
        <v>46031</v>
      </c>
      <c r="E1766" s="4" t="n">
        <v>552.66</v>
      </c>
      <c r="F1766">
        <f>Summary!$B$3-D1766</f>
        <v/>
      </c>
      <c r="G1766">
        <f>IF(D1766&gt;Summary!$B$3,"Current",IF(F1766&lt;=30,"0-30",IF(F1766&lt;=60,"31-60",IF(F1766&lt;=90,"61-90","90+"))))</f>
        <v/>
      </c>
    </row>
    <row r="1767">
      <c r="A1767" t="inlineStr">
        <is>
          <t>0009029012</t>
        </is>
      </c>
      <c r="B1767" t="inlineStr">
        <is>
          <t>0000100410</t>
        </is>
      </c>
      <c r="C1767" s="3" t="n">
        <v>45998</v>
      </c>
      <c r="D1767" s="3" t="n">
        <v>46043</v>
      </c>
      <c r="E1767" s="4" t="n">
        <v>1825.89</v>
      </c>
      <c r="F1767">
        <f>Summary!$B$3-D1767</f>
        <v/>
      </c>
      <c r="G1767">
        <f>IF(D1767&gt;Summary!$B$3,"Current",IF(F1767&lt;=30,"0-30",IF(F1767&lt;=60,"31-60",IF(F1767&lt;=90,"61-90","90+"))))</f>
        <v/>
      </c>
    </row>
    <row r="1768">
      <c r="A1768" t="inlineStr">
        <is>
          <t>0009029013</t>
        </is>
      </c>
      <c r="B1768" t="inlineStr">
        <is>
          <t>0000100258</t>
        </is>
      </c>
      <c r="C1768" s="3" t="n">
        <v>46003</v>
      </c>
      <c r="D1768" s="3" t="n">
        <v>46033</v>
      </c>
      <c r="E1768" s="4" t="n">
        <v>578.1900000000001</v>
      </c>
      <c r="F1768">
        <f>Summary!$B$3-D1768</f>
        <v/>
      </c>
      <c r="G1768">
        <f>IF(D1768&gt;Summary!$B$3,"Current",IF(F1768&lt;=30,"0-30",IF(F1768&lt;=60,"31-60",IF(F1768&lt;=90,"61-90","90+"))))</f>
        <v/>
      </c>
    </row>
    <row r="1769">
      <c r="A1769" t="inlineStr">
        <is>
          <t>0009029014</t>
        </is>
      </c>
      <c r="B1769" t="inlineStr">
        <is>
          <t>0000100254</t>
        </is>
      </c>
      <c r="C1769" s="3" t="n">
        <v>46004</v>
      </c>
      <c r="D1769" s="3" t="n">
        <v>46034</v>
      </c>
      <c r="E1769" s="4" t="n">
        <v>291.5</v>
      </c>
      <c r="F1769">
        <f>Summary!$B$3-D1769</f>
        <v/>
      </c>
      <c r="G1769">
        <f>IF(D1769&gt;Summary!$B$3,"Current",IF(F1769&lt;=30,"0-30",IF(F1769&lt;=60,"31-60",IF(F1769&lt;=90,"61-90","90+"))))</f>
        <v/>
      </c>
    </row>
    <row r="1770">
      <c r="A1770" t="inlineStr">
        <is>
          <t>0009029015</t>
        </is>
      </c>
      <c r="B1770" t="inlineStr">
        <is>
          <t>0000100253</t>
        </is>
      </c>
      <c r="C1770" s="3" t="n">
        <v>46000</v>
      </c>
      <c r="D1770" s="3" t="n">
        <v>46060</v>
      </c>
      <c r="E1770" s="4" t="n">
        <v>1300.85</v>
      </c>
      <c r="F1770">
        <f>Summary!$B$3-D1770</f>
        <v/>
      </c>
      <c r="G1770">
        <f>IF(D1770&gt;Summary!$B$3,"Current",IF(F1770&lt;=30,"0-30",IF(F1770&lt;=60,"31-60",IF(F1770&lt;=90,"61-90","90+"))))</f>
        <v/>
      </c>
    </row>
    <row r="1771">
      <c r="A1771" t="inlineStr">
        <is>
          <t>0009029016</t>
        </is>
      </c>
      <c r="B1771" t="inlineStr">
        <is>
          <t>0000100344</t>
        </is>
      </c>
      <c r="C1771" s="3" t="n">
        <v>46000</v>
      </c>
      <c r="D1771" s="3" t="n">
        <v>46030</v>
      </c>
      <c r="E1771" s="4" t="n">
        <v>312.82</v>
      </c>
      <c r="F1771">
        <f>Summary!$B$3-D1771</f>
        <v/>
      </c>
      <c r="G1771">
        <f>IF(D1771&gt;Summary!$B$3,"Current",IF(F1771&lt;=30,"0-30",IF(F1771&lt;=60,"31-60",IF(F1771&lt;=90,"61-90","90+"))))</f>
        <v/>
      </c>
    </row>
    <row r="1772">
      <c r="A1772" t="inlineStr">
        <is>
          <t>0009029019</t>
        </is>
      </c>
      <c r="B1772" t="inlineStr">
        <is>
          <t>0000100071</t>
        </is>
      </c>
      <c r="C1772" s="3" t="n">
        <v>46002</v>
      </c>
      <c r="D1772" s="3" t="n">
        <v>46047</v>
      </c>
      <c r="E1772" s="4" t="n">
        <v>371.25</v>
      </c>
      <c r="F1772">
        <f>Summary!$B$3-D1772</f>
        <v/>
      </c>
      <c r="G1772">
        <f>IF(D1772&gt;Summary!$B$3,"Current",IF(F1772&lt;=30,"0-30",IF(F1772&lt;=60,"31-60",IF(F1772&lt;=90,"61-90","90+"))))</f>
        <v/>
      </c>
    </row>
    <row r="1773">
      <c r="A1773" t="inlineStr">
        <is>
          <t>0009029020</t>
        </is>
      </c>
      <c r="B1773" t="inlineStr">
        <is>
          <t>0000100042</t>
        </is>
      </c>
      <c r="C1773" s="3" t="n">
        <v>46009</v>
      </c>
      <c r="D1773" s="3" t="n">
        <v>46039</v>
      </c>
      <c r="E1773" s="4" t="n">
        <v>628.52</v>
      </c>
      <c r="F1773">
        <f>Summary!$B$3-D1773</f>
        <v/>
      </c>
      <c r="G1773">
        <f>IF(D1773&gt;Summary!$B$3,"Current",IF(F1773&lt;=30,"0-30",IF(F1773&lt;=60,"31-60",IF(F1773&lt;=90,"61-90","90+"))))</f>
        <v/>
      </c>
    </row>
    <row r="1774">
      <c r="A1774" t="inlineStr">
        <is>
          <t>0009029021</t>
        </is>
      </c>
      <c r="B1774" t="inlineStr">
        <is>
          <t>0000100226</t>
        </is>
      </c>
      <c r="C1774" s="3" t="n">
        <v>46003</v>
      </c>
      <c r="D1774" s="3" t="n">
        <v>46048</v>
      </c>
      <c r="E1774" s="4" t="n">
        <v>1890.72</v>
      </c>
      <c r="F1774">
        <f>Summary!$B$3-D1774</f>
        <v/>
      </c>
      <c r="G1774">
        <f>IF(D1774&gt;Summary!$B$3,"Current",IF(F1774&lt;=30,"0-30",IF(F1774&lt;=60,"31-60",IF(F1774&lt;=90,"61-90","90+"))))</f>
        <v/>
      </c>
    </row>
    <row r="1775">
      <c r="A1775" t="inlineStr">
        <is>
          <t>0009029022</t>
        </is>
      </c>
      <c r="B1775" t="inlineStr">
        <is>
          <t>0000100043</t>
        </is>
      </c>
      <c r="C1775" s="3" t="n">
        <v>46003</v>
      </c>
      <c r="D1775" s="3" t="n">
        <v>46033</v>
      </c>
      <c r="E1775" s="4" t="n">
        <v>549.03</v>
      </c>
      <c r="F1775">
        <f>Summary!$B$3-D1775</f>
        <v/>
      </c>
      <c r="G1775">
        <f>IF(D1775&gt;Summary!$B$3,"Current",IF(F1775&lt;=30,"0-30",IF(F1775&lt;=60,"31-60",IF(F1775&lt;=90,"61-90","90+"))))</f>
        <v/>
      </c>
    </row>
    <row r="1776">
      <c r="A1776" t="inlineStr">
        <is>
          <t>0009029023</t>
        </is>
      </c>
      <c r="B1776" t="inlineStr">
        <is>
          <t>0000100269</t>
        </is>
      </c>
      <c r="C1776" s="3" t="n">
        <v>46000</v>
      </c>
      <c r="D1776" s="3" t="n">
        <v>46030</v>
      </c>
      <c r="E1776" s="4" t="n">
        <v>32.46</v>
      </c>
      <c r="F1776">
        <f>Summary!$B$3-D1776</f>
        <v/>
      </c>
      <c r="G1776">
        <f>IF(D1776&gt;Summary!$B$3,"Current",IF(F1776&lt;=30,"0-30",IF(F1776&lt;=60,"31-60",IF(F1776&lt;=90,"61-90","90+"))))</f>
        <v/>
      </c>
    </row>
    <row r="1777">
      <c r="A1777" t="inlineStr">
        <is>
          <t>0009029025</t>
        </is>
      </c>
      <c r="B1777" t="inlineStr">
        <is>
          <t>0000100393</t>
        </is>
      </c>
      <c r="C1777" s="3" t="n">
        <v>46000</v>
      </c>
      <c r="D1777" s="3" t="n">
        <v>46030</v>
      </c>
      <c r="E1777" s="4" t="n">
        <v>325.14</v>
      </c>
      <c r="F1777">
        <f>Summary!$B$3-D1777</f>
        <v/>
      </c>
      <c r="G1777">
        <f>IF(D1777&gt;Summary!$B$3,"Current",IF(F1777&lt;=30,"0-30",IF(F1777&lt;=60,"31-60",IF(F1777&lt;=90,"61-90","90+"))))</f>
        <v/>
      </c>
    </row>
    <row r="1778">
      <c r="A1778" t="inlineStr">
        <is>
          <t>0009029026</t>
        </is>
      </c>
      <c r="B1778" t="inlineStr">
        <is>
          <t>0000100344</t>
        </is>
      </c>
      <c r="C1778" s="3" t="n">
        <v>46002</v>
      </c>
      <c r="D1778" s="3" t="n">
        <v>46032</v>
      </c>
      <c r="E1778" s="4" t="n">
        <v>899.9299999999999</v>
      </c>
      <c r="F1778">
        <f>Summary!$B$3-D1778</f>
        <v/>
      </c>
      <c r="G1778">
        <f>IF(D1778&gt;Summary!$B$3,"Current",IF(F1778&lt;=30,"0-30",IF(F1778&lt;=60,"31-60",IF(F1778&lt;=90,"61-90","90+"))))</f>
        <v/>
      </c>
    </row>
    <row r="1779">
      <c r="A1779" t="inlineStr">
        <is>
          <t>0009029027</t>
        </is>
      </c>
      <c r="B1779" t="inlineStr">
        <is>
          <t>0000100377</t>
        </is>
      </c>
      <c r="C1779" s="3" t="n">
        <v>46003</v>
      </c>
      <c r="D1779" s="3" t="n">
        <v>46033</v>
      </c>
      <c r="E1779" s="4" t="n">
        <v>1174.7</v>
      </c>
      <c r="F1779">
        <f>Summary!$B$3-D1779</f>
        <v/>
      </c>
      <c r="G1779">
        <f>IF(D1779&gt;Summary!$B$3,"Current",IF(F1779&lt;=30,"0-30",IF(F1779&lt;=60,"31-60",IF(F1779&lt;=90,"61-90","90+"))))</f>
        <v/>
      </c>
    </row>
    <row r="1780">
      <c r="A1780" t="inlineStr">
        <is>
          <t>0009029028</t>
        </is>
      </c>
      <c r="B1780" t="inlineStr">
        <is>
          <t>0000100348</t>
        </is>
      </c>
      <c r="C1780" s="3" t="n">
        <v>46002</v>
      </c>
      <c r="D1780" s="3" t="n">
        <v>46062</v>
      </c>
      <c r="E1780" s="4" t="n">
        <v>595.04</v>
      </c>
      <c r="F1780">
        <f>Summary!$B$3-D1780</f>
        <v/>
      </c>
      <c r="G1780">
        <f>IF(D1780&gt;Summary!$B$3,"Current",IF(F1780&lt;=30,"0-30",IF(F1780&lt;=60,"31-60",IF(F1780&lt;=90,"61-90","90+"))))</f>
        <v/>
      </c>
    </row>
    <row r="1781">
      <c r="A1781" t="inlineStr">
        <is>
          <t>0009029029</t>
        </is>
      </c>
      <c r="B1781" t="inlineStr">
        <is>
          <t>0000100102</t>
        </is>
      </c>
      <c r="C1781" s="3" t="n">
        <v>46001</v>
      </c>
      <c r="D1781" s="3" t="n">
        <v>46031</v>
      </c>
      <c r="E1781" s="4" t="n">
        <v>2574.63</v>
      </c>
      <c r="F1781">
        <f>Summary!$B$3-D1781</f>
        <v/>
      </c>
      <c r="G1781">
        <f>IF(D1781&gt;Summary!$B$3,"Current",IF(F1781&lt;=30,"0-30",IF(F1781&lt;=60,"31-60",IF(F1781&lt;=90,"61-90","90+"))))</f>
        <v/>
      </c>
    </row>
    <row r="1782">
      <c r="A1782" t="inlineStr">
        <is>
          <t>0009029030</t>
        </is>
      </c>
      <c r="B1782" t="inlineStr">
        <is>
          <t>0000100002</t>
        </is>
      </c>
      <c r="C1782" s="3" t="n">
        <v>46006</v>
      </c>
      <c r="D1782" s="3" t="n">
        <v>46066</v>
      </c>
      <c r="E1782" s="4" t="n">
        <v>1802.71</v>
      </c>
      <c r="F1782">
        <f>Summary!$B$3-D1782</f>
        <v/>
      </c>
      <c r="G1782">
        <f>IF(D1782&gt;Summary!$B$3,"Current",IF(F1782&lt;=30,"0-30",IF(F1782&lt;=60,"31-60",IF(F1782&lt;=90,"61-90","90+"))))</f>
        <v/>
      </c>
    </row>
    <row r="1783">
      <c r="A1783" t="inlineStr">
        <is>
          <t>0009029031</t>
        </is>
      </c>
      <c r="B1783" t="inlineStr">
        <is>
          <t>0000100357</t>
        </is>
      </c>
      <c r="C1783" s="3" t="n">
        <v>45998</v>
      </c>
      <c r="D1783" s="3" t="n">
        <v>46043</v>
      </c>
      <c r="E1783" s="4" t="n">
        <v>1359.25</v>
      </c>
      <c r="F1783">
        <f>Summary!$B$3-D1783</f>
        <v/>
      </c>
      <c r="G1783">
        <f>IF(D1783&gt;Summary!$B$3,"Current",IF(F1783&lt;=30,"0-30",IF(F1783&lt;=60,"31-60",IF(F1783&lt;=90,"61-90","90+"))))</f>
        <v/>
      </c>
    </row>
    <row r="1784">
      <c r="A1784" t="inlineStr">
        <is>
          <t>0009029032</t>
        </is>
      </c>
      <c r="B1784" t="inlineStr">
        <is>
          <t>0000100249</t>
        </is>
      </c>
      <c r="C1784" s="3" t="n">
        <v>46004</v>
      </c>
      <c r="D1784" s="3" t="n">
        <v>46064</v>
      </c>
      <c r="E1784" s="4" t="n">
        <v>1195.6</v>
      </c>
      <c r="F1784">
        <f>Summary!$B$3-D1784</f>
        <v/>
      </c>
      <c r="G1784">
        <f>IF(D1784&gt;Summary!$B$3,"Current",IF(F1784&lt;=30,"0-30",IF(F1784&lt;=60,"31-60",IF(F1784&lt;=90,"61-90","90+"))))</f>
        <v/>
      </c>
    </row>
    <row r="1785">
      <c r="A1785" t="inlineStr">
        <is>
          <t>0009029033</t>
        </is>
      </c>
      <c r="B1785" t="inlineStr">
        <is>
          <t>0000100065</t>
        </is>
      </c>
      <c r="C1785" s="3" t="n">
        <v>46000</v>
      </c>
      <c r="D1785" s="3" t="n">
        <v>46045</v>
      </c>
      <c r="E1785" s="4" t="n">
        <v>279.28</v>
      </c>
      <c r="F1785">
        <f>Summary!$B$3-D1785</f>
        <v/>
      </c>
      <c r="G1785">
        <f>IF(D1785&gt;Summary!$B$3,"Current",IF(F1785&lt;=30,"0-30",IF(F1785&lt;=60,"31-60",IF(F1785&lt;=90,"61-90","90+"))))</f>
        <v/>
      </c>
    </row>
    <row r="1786">
      <c r="A1786" t="inlineStr">
        <is>
          <t>0009029034</t>
        </is>
      </c>
      <c r="B1786" t="inlineStr">
        <is>
          <t>0000100291</t>
        </is>
      </c>
      <c r="C1786" s="3" t="n">
        <v>45999</v>
      </c>
      <c r="D1786" s="3" t="n">
        <v>46059</v>
      </c>
      <c r="E1786" s="4" t="n">
        <v>680.11</v>
      </c>
      <c r="F1786">
        <f>Summary!$B$3-D1786</f>
        <v/>
      </c>
      <c r="G1786">
        <f>IF(D1786&gt;Summary!$B$3,"Current",IF(F1786&lt;=30,"0-30",IF(F1786&lt;=60,"31-60",IF(F1786&lt;=90,"61-90","90+"))))</f>
        <v/>
      </c>
    </row>
    <row r="1787">
      <c r="A1787" t="inlineStr">
        <is>
          <t>0009029035</t>
        </is>
      </c>
      <c r="B1787" t="inlineStr">
        <is>
          <t>0000100018</t>
        </is>
      </c>
      <c r="C1787" s="3" t="n">
        <v>46005</v>
      </c>
      <c r="D1787" s="3" t="n">
        <v>46035</v>
      </c>
      <c r="E1787" s="4" t="n">
        <v>208.89</v>
      </c>
      <c r="F1787">
        <f>Summary!$B$3-D1787</f>
        <v/>
      </c>
      <c r="G1787">
        <f>IF(D1787&gt;Summary!$B$3,"Current",IF(F1787&lt;=30,"0-30",IF(F1787&lt;=60,"31-60",IF(F1787&lt;=90,"61-90","90+"))))</f>
        <v/>
      </c>
    </row>
    <row r="1788">
      <c r="A1788" t="inlineStr">
        <is>
          <t>0009029036</t>
        </is>
      </c>
      <c r="B1788" t="inlineStr">
        <is>
          <t>0000100521</t>
        </is>
      </c>
      <c r="C1788" s="3" t="n">
        <v>46002</v>
      </c>
      <c r="D1788" s="3" t="n">
        <v>46032</v>
      </c>
      <c r="E1788" s="4" t="n">
        <v>1104.9</v>
      </c>
      <c r="F1788">
        <f>Summary!$B$3-D1788</f>
        <v/>
      </c>
      <c r="G1788">
        <f>IF(D1788&gt;Summary!$B$3,"Current",IF(F1788&lt;=30,"0-30",IF(F1788&lt;=60,"31-60",IF(F1788&lt;=90,"61-90","90+"))))</f>
        <v/>
      </c>
    </row>
    <row r="1789">
      <c r="A1789" t="inlineStr">
        <is>
          <t>0009029037</t>
        </is>
      </c>
      <c r="B1789" t="inlineStr">
        <is>
          <t>0000100416</t>
        </is>
      </c>
      <c r="C1789" s="3" t="n">
        <v>46000</v>
      </c>
      <c r="D1789" s="3" t="n">
        <v>46045</v>
      </c>
      <c r="E1789" s="4" t="n">
        <v>369.82</v>
      </c>
      <c r="F1789">
        <f>Summary!$B$3-D1789</f>
        <v/>
      </c>
      <c r="G1789">
        <f>IF(D1789&gt;Summary!$B$3,"Current",IF(F1789&lt;=30,"0-30",IF(F1789&lt;=60,"31-60",IF(F1789&lt;=90,"61-90","90+"))))</f>
        <v/>
      </c>
    </row>
    <row r="1790">
      <c r="A1790" t="inlineStr">
        <is>
          <t>0009029038</t>
        </is>
      </c>
      <c r="B1790" t="inlineStr">
        <is>
          <t>0000100409</t>
        </is>
      </c>
      <c r="C1790" s="3" t="n">
        <v>46002</v>
      </c>
      <c r="D1790" s="3" t="n">
        <v>46032</v>
      </c>
      <c r="E1790" s="4" t="n">
        <v>671.84</v>
      </c>
      <c r="F1790">
        <f>Summary!$B$3-D1790</f>
        <v/>
      </c>
      <c r="G1790">
        <f>IF(D1790&gt;Summary!$B$3,"Current",IF(F1790&lt;=30,"0-30",IF(F1790&lt;=60,"31-60",IF(F1790&lt;=90,"61-90","90+"))))</f>
        <v/>
      </c>
    </row>
    <row r="1791">
      <c r="A1791" t="inlineStr">
        <is>
          <t>0009029039</t>
        </is>
      </c>
      <c r="B1791" t="inlineStr">
        <is>
          <t>0000100068</t>
        </is>
      </c>
      <c r="C1791" s="3" t="n">
        <v>45998</v>
      </c>
      <c r="D1791" s="3" t="n">
        <v>46028</v>
      </c>
      <c r="E1791" s="4" t="n">
        <v>771.85</v>
      </c>
      <c r="F1791">
        <f>Summary!$B$3-D1791</f>
        <v/>
      </c>
      <c r="G1791">
        <f>IF(D1791&gt;Summary!$B$3,"Current",IF(F1791&lt;=30,"0-30",IF(F1791&lt;=60,"31-60",IF(F1791&lt;=90,"61-90","90+"))))</f>
        <v/>
      </c>
    </row>
    <row r="1792">
      <c r="A1792" t="inlineStr">
        <is>
          <t>0009029040</t>
        </is>
      </c>
      <c r="B1792" t="inlineStr">
        <is>
          <t>0000100101</t>
        </is>
      </c>
      <c r="C1792" s="3" t="n">
        <v>46005</v>
      </c>
      <c r="D1792" s="3" t="n">
        <v>46035</v>
      </c>
      <c r="E1792" s="4" t="n">
        <v>262.34</v>
      </c>
      <c r="F1792">
        <f>Summary!$B$3-D1792</f>
        <v/>
      </c>
      <c r="G1792">
        <f>IF(D1792&gt;Summary!$B$3,"Current",IF(F1792&lt;=30,"0-30",IF(F1792&lt;=60,"31-60",IF(F1792&lt;=90,"61-90","90+"))))</f>
        <v/>
      </c>
    </row>
    <row r="1793">
      <c r="A1793" t="inlineStr">
        <is>
          <t>0009029041</t>
        </is>
      </c>
      <c r="B1793" t="inlineStr">
        <is>
          <t>0000100429</t>
        </is>
      </c>
      <c r="C1793" s="3" t="n">
        <v>46005</v>
      </c>
      <c r="D1793" s="3" t="n">
        <v>46035</v>
      </c>
      <c r="E1793" s="4" t="n">
        <v>1833.71</v>
      </c>
      <c r="F1793">
        <f>Summary!$B$3-D1793</f>
        <v/>
      </c>
      <c r="G1793">
        <f>IF(D1793&gt;Summary!$B$3,"Current",IF(F1793&lt;=30,"0-30",IF(F1793&lt;=60,"31-60",IF(F1793&lt;=90,"61-90","90+"))))</f>
        <v/>
      </c>
    </row>
    <row r="1794">
      <c r="A1794" t="inlineStr">
        <is>
          <t>0009029042</t>
        </is>
      </c>
      <c r="B1794" t="inlineStr">
        <is>
          <t>0000100299</t>
        </is>
      </c>
      <c r="C1794" s="3" t="n">
        <v>46001</v>
      </c>
      <c r="D1794" s="3" t="n">
        <v>46046</v>
      </c>
      <c r="E1794" s="4" t="n">
        <v>444.46</v>
      </c>
      <c r="F1794">
        <f>Summary!$B$3-D1794</f>
        <v/>
      </c>
      <c r="G1794">
        <f>IF(D1794&gt;Summary!$B$3,"Current",IF(F1794&lt;=30,"0-30",IF(F1794&lt;=60,"31-60",IF(F1794&lt;=90,"61-90","90+"))))</f>
        <v/>
      </c>
    </row>
    <row r="1795">
      <c r="A1795" t="inlineStr">
        <is>
          <t>0009029043</t>
        </is>
      </c>
      <c r="B1795" t="inlineStr">
        <is>
          <t>0000100056</t>
        </is>
      </c>
      <c r="C1795" s="3" t="n">
        <v>46004</v>
      </c>
      <c r="D1795" s="3" t="n">
        <v>46064</v>
      </c>
      <c r="E1795" s="4" t="n">
        <v>688.9</v>
      </c>
      <c r="F1795">
        <f>Summary!$B$3-D1795</f>
        <v/>
      </c>
      <c r="G1795">
        <f>IF(D1795&gt;Summary!$B$3,"Current",IF(F1795&lt;=30,"0-30",IF(F1795&lt;=60,"31-60",IF(F1795&lt;=90,"61-90","90+"))))</f>
        <v/>
      </c>
    </row>
    <row r="1796">
      <c r="A1796" t="inlineStr">
        <is>
          <t>0009029044</t>
        </is>
      </c>
      <c r="B1796" t="inlineStr">
        <is>
          <t>0000100002</t>
        </is>
      </c>
      <c r="C1796" s="3" t="n">
        <v>46003</v>
      </c>
      <c r="D1796" s="3" t="n">
        <v>46063</v>
      </c>
      <c r="E1796" s="4" t="n">
        <v>1901.4</v>
      </c>
      <c r="F1796">
        <f>Summary!$B$3-D1796</f>
        <v/>
      </c>
      <c r="G1796">
        <f>IF(D1796&gt;Summary!$B$3,"Current",IF(F1796&lt;=30,"0-30",IF(F1796&lt;=60,"31-60",IF(F1796&lt;=90,"61-90","90+"))))</f>
        <v/>
      </c>
    </row>
    <row r="1797">
      <c r="A1797" t="inlineStr">
        <is>
          <t>0009029045</t>
        </is>
      </c>
      <c r="B1797" t="inlineStr">
        <is>
          <t>0000100145</t>
        </is>
      </c>
      <c r="C1797" s="3" t="n">
        <v>46003</v>
      </c>
      <c r="D1797" s="3" t="n">
        <v>46033</v>
      </c>
      <c r="E1797" s="4" t="n">
        <v>2479.97</v>
      </c>
      <c r="F1797">
        <f>Summary!$B$3-D1797</f>
        <v/>
      </c>
      <c r="G1797">
        <f>IF(D1797&gt;Summary!$B$3,"Current",IF(F1797&lt;=30,"0-30",IF(F1797&lt;=60,"31-60",IF(F1797&lt;=90,"61-90","90+"))))</f>
        <v/>
      </c>
    </row>
    <row r="1798">
      <c r="A1798" t="inlineStr">
        <is>
          <t>0009029046</t>
        </is>
      </c>
      <c r="B1798" t="inlineStr">
        <is>
          <t>0000100268</t>
        </is>
      </c>
      <c r="C1798" s="3" t="n">
        <v>46004</v>
      </c>
      <c r="D1798" s="3" t="n">
        <v>46034</v>
      </c>
      <c r="E1798" s="4" t="n">
        <v>325.39</v>
      </c>
      <c r="F1798">
        <f>Summary!$B$3-D1798</f>
        <v/>
      </c>
      <c r="G1798">
        <f>IF(D1798&gt;Summary!$B$3,"Current",IF(F1798&lt;=30,"0-30",IF(F1798&lt;=60,"31-60",IF(F1798&lt;=90,"61-90","90+"))))</f>
        <v/>
      </c>
    </row>
    <row r="1799">
      <c r="A1799" t="inlineStr">
        <is>
          <t>0009029047</t>
        </is>
      </c>
      <c r="B1799" t="inlineStr">
        <is>
          <t>0000100101</t>
        </is>
      </c>
      <c r="C1799" s="3" t="n">
        <v>46002</v>
      </c>
      <c r="D1799" s="3" t="n">
        <v>46032</v>
      </c>
      <c r="E1799" s="4" t="n">
        <v>186.73</v>
      </c>
      <c r="F1799">
        <f>Summary!$B$3-D1799</f>
        <v/>
      </c>
      <c r="G1799">
        <f>IF(D1799&gt;Summary!$B$3,"Current",IF(F1799&lt;=30,"0-30",IF(F1799&lt;=60,"31-60",IF(F1799&lt;=90,"61-90","90+"))))</f>
        <v/>
      </c>
    </row>
    <row r="1800">
      <c r="A1800" t="inlineStr">
        <is>
          <t>0009029048</t>
        </is>
      </c>
      <c r="B1800" t="inlineStr">
        <is>
          <t>0000100524</t>
        </is>
      </c>
      <c r="C1800" s="3" t="n">
        <v>46003</v>
      </c>
      <c r="D1800" s="3" t="n">
        <v>46033</v>
      </c>
      <c r="E1800" s="4" t="n">
        <v>750.15</v>
      </c>
      <c r="F1800">
        <f>Summary!$B$3-D1800</f>
        <v/>
      </c>
      <c r="G1800">
        <f>IF(D1800&gt;Summary!$B$3,"Current",IF(F1800&lt;=30,"0-30",IF(F1800&lt;=60,"31-60",IF(F1800&lt;=90,"61-90","90+"))))</f>
        <v/>
      </c>
    </row>
    <row r="1801">
      <c r="A1801" t="inlineStr">
        <is>
          <t>0009029049</t>
        </is>
      </c>
      <c r="B1801" t="inlineStr">
        <is>
          <t>0000100557</t>
        </is>
      </c>
      <c r="C1801" s="3" t="n">
        <v>46003</v>
      </c>
      <c r="D1801" s="3" t="n">
        <v>46033</v>
      </c>
      <c r="E1801" s="4" t="n">
        <v>1351.2</v>
      </c>
      <c r="F1801">
        <f>Summary!$B$3-D1801</f>
        <v/>
      </c>
      <c r="G1801">
        <f>IF(D1801&gt;Summary!$B$3,"Current",IF(F1801&lt;=30,"0-30",IF(F1801&lt;=60,"31-60",IF(F1801&lt;=90,"61-90","90+"))))</f>
        <v/>
      </c>
    </row>
    <row r="1802">
      <c r="A1802" t="inlineStr">
        <is>
          <t>0009029050</t>
        </is>
      </c>
      <c r="B1802" t="inlineStr">
        <is>
          <t>0000100417</t>
        </is>
      </c>
      <c r="C1802" s="3" t="n">
        <v>46004</v>
      </c>
      <c r="D1802" s="3" t="n">
        <v>46064</v>
      </c>
      <c r="E1802" s="4" t="n">
        <v>969.08</v>
      </c>
      <c r="F1802">
        <f>Summary!$B$3-D1802</f>
        <v/>
      </c>
      <c r="G1802">
        <f>IF(D1802&gt;Summary!$B$3,"Current",IF(F1802&lt;=30,"0-30",IF(F1802&lt;=60,"31-60",IF(F1802&lt;=90,"61-90","90+"))))</f>
        <v/>
      </c>
    </row>
    <row r="1803">
      <c r="A1803" t="inlineStr">
        <is>
          <t>0009029051</t>
        </is>
      </c>
      <c r="B1803" t="inlineStr">
        <is>
          <t>0000100203</t>
        </is>
      </c>
      <c r="C1803" s="3" t="n">
        <v>45997</v>
      </c>
      <c r="D1803" s="3" t="n">
        <v>46042</v>
      </c>
      <c r="E1803" s="4" t="n">
        <v>372.11</v>
      </c>
      <c r="F1803">
        <f>Summary!$B$3-D1803</f>
        <v/>
      </c>
      <c r="G1803">
        <f>IF(D1803&gt;Summary!$B$3,"Current",IF(F1803&lt;=30,"0-30",IF(F1803&lt;=60,"31-60",IF(F1803&lt;=90,"61-90","90+"))))</f>
        <v/>
      </c>
    </row>
    <row r="1804">
      <c r="A1804" t="inlineStr">
        <is>
          <t>0009029052</t>
        </is>
      </c>
      <c r="B1804" t="inlineStr">
        <is>
          <t>0000100513</t>
        </is>
      </c>
      <c r="C1804" s="3" t="n">
        <v>46003</v>
      </c>
      <c r="D1804" s="3" t="n">
        <v>46063</v>
      </c>
      <c r="E1804" s="4" t="n">
        <v>208.58</v>
      </c>
      <c r="F1804">
        <f>Summary!$B$3-D1804</f>
        <v/>
      </c>
      <c r="G1804">
        <f>IF(D1804&gt;Summary!$B$3,"Current",IF(F1804&lt;=30,"0-30",IF(F1804&lt;=60,"31-60",IF(F1804&lt;=90,"61-90","90+"))))</f>
        <v/>
      </c>
    </row>
    <row r="1805">
      <c r="A1805" t="inlineStr">
        <is>
          <t>0009029053</t>
        </is>
      </c>
      <c r="B1805" t="inlineStr">
        <is>
          <t>0000100262</t>
        </is>
      </c>
      <c r="C1805" s="3" t="n">
        <v>46002</v>
      </c>
      <c r="D1805" s="3" t="n">
        <v>46047</v>
      </c>
      <c r="E1805" s="4" t="n">
        <v>1069.71</v>
      </c>
      <c r="F1805">
        <f>Summary!$B$3-D1805</f>
        <v/>
      </c>
      <c r="G1805">
        <f>IF(D1805&gt;Summary!$B$3,"Current",IF(F1805&lt;=30,"0-30",IF(F1805&lt;=60,"31-60",IF(F1805&lt;=90,"61-90","90+"))))</f>
        <v/>
      </c>
    </row>
    <row r="1806">
      <c r="A1806" t="inlineStr">
        <is>
          <t>0009029054</t>
        </is>
      </c>
      <c r="B1806" t="inlineStr">
        <is>
          <t>0000100429</t>
        </is>
      </c>
      <c r="C1806" s="3" t="n">
        <v>46007</v>
      </c>
      <c r="D1806" s="3" t="n">
        <v>46037</v>
      </c>
      <c r="E1806" s="4" t="n">
        <v>469.96</v>
      </c>
      <c r="F1806">
        <f>Summary!$B$3-D1806</f>
        <v/>
      </c>
      <c r="G1806">
        <f>IF(D1806&gt;Summary!$B$3,"Current",IF(F1806&lt;=30,"0-30",IF(F1806&lt;=60,"31-60",IF(F1806&lt;=90,"61-90","90+"))))</f>
        <v/>
      </c>
    </row>
    <row r="1807">
      <c r="A1807" t="inlineStr">
        <is>
          <t>0009029056</t>
        </is>
      </c>
      <c r="B1807" t="inlineStr">
        <is>
          <t>0000100207</t>
        </is>
      </c>
      <c r="C1807" s="3" t="n">
        <v>46004</v>
      </c>
      <c r="D1807" s="3" t="n">
        <v>46034</v>
      </c>
      <c r="E1807" s="4" t="n">
        <v>1434.26</v>
      </c>
      <c r="F1807">
        <f>Summary!$B$3-D1807</f>
        <v/>
      </c>
      <c r="G1807">
        <f>IF(D1807&gt;Summary!$B$3,"Current",IF(F1807&lt;=30,"0-30",IF(F1807&lt;=60,"31-60",IF(F1807&lt;=90,"61-90","90+"))))</f>
        <v/>
      </c>
    </row>
    <row r="1808">
      <c r="A1808" t="inlineStr">
        <is>
          <t>0009029057</t>
        </is>
      </c>
      <c r="B1808" t="inlineStr">
        <is>
          <t>0000100122</t>
        </is>
      </c>
      <c r="C1808" s="3" t="n">
        <v>45999</v>
      </c>
      <c r="D1808" s="3" t="n">
        <v>46029</v>
      </c>
      <c r="E1808" s="4" t="n">
        <v>594.9</v>
      </c>
      <c r="F1808">
        <f>Summary!$B$3-D1808</f>
        <v/>
      </c>
      <c r="G1808">
        <f>IF(D1808&gt;Summary!$B$3,"Current",IF(F1808&lt;=30,"0-30",IF(F1808&lt;=60,"31-60",IF(F1808&lt;=90,"61-90","90+"))))</f>
        <v/>
      </c>
    </row>
    <row r="1809">
      <c r="A1809" t="inlineStr">
        <is>
          <t>0009029058</t>
        </is>
      </c>
      <c r="B1809" t="inlineStr">
        <is>
          <t>0000100577</t>
        </is>
      </c>
      <c r="C1809" s="3" t="n">
        <v>46005</v>
      </c>
      <c r="D1809" s="3" t="n">
        <v>46035</v>
      </c>
      <c r="E1809" s="4" t="n">
        <v>1010.56</v>
      </c>
      <c r="F1809">
        <f>Summary!$B$3-D1809</f>
        <v/>
      </c>
      <c r="G1809">
        <f>IF(D1809&gt;Summary!$B$3,"Current",IF(F1809&lt;=30,"0-30",IF(F1809&lt;=60,"31-60",IF(F1809&lt;=90,"61-90","90+"))))</f>
        <v/>
      </c>
    </row>
    <row r="1810">
      <c r="A1810" t="inlineStr">
        <is>
          <t>0009029059</t>
        </is>
      </c>
      <c r="B1810" t="inlineStr">
        <is>
          <t>0000100386</t>
        </is>
      </c>
      <c r="C1810" s="3" t="n">
        <v>46003</v>
      </c>
      <c r="D1810" s="3" t="n">
        <v>46033</v>
      </c>
      <c r="E1810" s="4" t="n">
        <v>1503.23</v>
      </c>
      <c r="F1810">
        <f>Summary!$B$3-D1810</f>
        <v/>
      </c>
      <c r="G1810">
        <f>IF(D1810&gt;Summary!$B$3,"Current",IF(F1810&lt;=30,"0-30",IF(F1810&lt;=60,"31-60",IF(F1810&lt;=90,"61-90","90+"))))</f>
        <v/>
      </c>
    </row>
    <row r="1811">
      <c r="A1811" t="inlineStr">
        <is>
          <t>0009029060</t>
        </is>
      </c>
      <c r="B1811" t="inlineStr">
        <is>
          <t>0000100456</t>
        </is>
      </c>
      <c r="C1811" s="3" t="n">
        <v>46002</v>
      </c>
      <c r="D1811" s="3" t="n">
        <v>46062</v>
      </c>
      <c r="E1811" s="4" t="n">
        <v>133.74</v>
      </c>
      <c r="F1811">
        <f>Summary!$B$3-D1811</f>
        <v/>
      </c>
      <c r="G1811">
        <f>IF(D1811&gt;Summary!$B$3,"Current",IF(F1811&lt;=30,"0-30",IF(F1811&lt;=60,"31-60",IF(F1811&lt;=90,"61-90","90+"))))</f>
        <v/>
      </c>
    </row>
    <row r="1812">
      <c r="A1812" t="inlineStr">
        <is>
          <t>0009029061</t>
        </is>
      </c>
      <c r="B1812" t="inlineStr">
        <is>
          <t>0000100588</t>
        </is>
      </c>
      <c r="C1812" s="3" t="n">
        <v>45999</v>
      </c>
      <c r="D1812" s="3" t="n">
        <v>46029</v>
      </c>
      <c r="E1812" s="4" t="n">
        <v>444.72</v>
      </c>
      <c r="F1812">
        <f>Summary!$B$3-D1812</f>
        <v/>
      </c>
      <c r="G1812">
        <f>IF(D1812&gt;Summary!$B$3,"Current",IF(F1812&lt;=30,"0-30",IF(F1812&lt;=60,"31-60",IF(F1812&lt;=90,"61-90","90+"))))</f>
        <v/>
      </c>
    </row>
    <row r="1813">
      <c r="A1813" t="inlineStr">
        <is>
          <t>0009029062</t>
        </is>
      </c>
      <c r="B1813" t="inlineStr">
        <is>
          <t>0000100539</t>
        </is>
      </c>
      <c r="C1813" s="3" t="n">
        <v>46000</v>
      </c>
      <c r="D1813" s="3" t="n">
        <v>46045</v>
      </c>
      <c r="E1813" s="4" t="n">
        <v>45.15</v>
      </c>
      <c r="F1813">
        <f>Summary!$B$3-D1813</f>
        <v/>
      </c>
      <c r="G1813">
        <f>IF(D1813&gt;Summary!$B$3,"Current",IF(F1813&lt;=30,"0-30",IF(F1813&lt;=60,"31-60",IF(F1813&lt;=90,"61-90","90+"))))</f>
        <v/>
      </c>
    </row>
    <row r="1814">
      <c r="A1814" t="inlineStr">
        <is>
          <t>0009029063</t>
        </is>
      </c>
      <c r="B1814" t="inlineStr">
        <is>
          <t>0000100185</t>
        </is>
      </c>
      <c r="C1814" s="3" t="n">
        <v>46005</v>
      </c>
      <c r="D1814" s="3" t="n">
        <v>46035</v>
      </c>
      <c r="E1814" s="4" t="n">
        <v>92.76000000000001</v>
      </c>
      <c r="F1814">
        <f>Summary!$B$3-D1814</f>
        <v/>
      </c>
      <c r="G1814">
        <f>IF(D1814&gt;Summary!$B$3,"Current",IF(F1814&lt;=30,"0-30",IF(F1814&lt;=60,"31-60",IF(F1814&lt;=90,"61-90","90+"))))</f>
        <v/>
      </c>
    </row>
    <row r="1815">
      <c r="A1815" t="inlineStr">
        <is>
          <t>0009029064</t>
        </is>
      </c>
      <c r="B1815" t="inlineStr">
        <is>
          <t>0000100571</t>
        </is>
      </c>
      <c r="C1815" s="3" t="n">
        <v>46000</v>
      </c>
      <c r="D1815" s="3" t="n">
        <v>46045</v>
      </c>
      <c r="E1815" s="4" t="n">
        <v>118.93</v>
      </c>
      <c r="F1815">
        <f>Summary!$B$3-D1815</f>
        <v/>
      </c>
      <c r="G1815">
        <f>IF(D1815&gt;Summary!$B$3,"Current",IF(F1815&lt;=30,"0-30",IF(F1815&lt;=60,"31-60",IF(F1815&lt;=90,"61-90","90+"))))</f>
        <v/>
      </c>
    </row>
    <row r="1816">
      <c r="A1816" t="inlineStr">
        <is>
          <t>0009029065</t>
        </is>
      </c>
      <c r="B1816" t="inlineStr">
        <is>
          <t>0000100586</t>
        </is>
      </c>
      <c r="C1816" s="3" t="n">
        <v>45999</v>
      </c>
      <c r="D1816" s="3" t="n">
        <v>46029</v>
      </c>
      <c r="E1816" s="4" t="n">
        <v>235.19</v>
      </c>
      <c r="F1816">
        <f>Summary!$B$3-D1816</f>
        <v/>
      </c>
      <c r="G1816">
        <f>IF(D1816&gt;Summary!$B$3,"Current",IF(F1816&lt;=30,"0-30",IF(F1816&lt;=60,"31-60",IF(F1816&lt;=90,"61-90","90+"))))</f>
        <v/>
      </c>
    </row>
    <row r="1817">
      <c r="A1817" t="inlineStr">
        <is>
          <t>0009029066</t>
        </is>
      </c>
      <c r="B1817" t="inlineStr">
        <is>
          <t>0000100226</t>
        </is>
      </c>
      <c r="C1817" s="3" t="n">
        <v>46006</v>
      </c>
      <c r="D1817" s="3" t="n">
        <v>46051</v>
      </c>
      <c r="E1817" s="4" t="n">
        <v>329.7</v>
      </c>
      <c r="F1817">
        <f>Summary!$B$3-D1817</f>
        <v/>
      </c>
      <c r="G1817">
        <f>IF(D1817&gt;Summary!$B$3,"Current",IF(F1817&lt;=30,"0-30",IF(F1817&lt;=60,"31-60",IF(F1817&lt;=90,"61-90","90+"))))</f>
        <v/>
      </c>
    </row>
    <row r="1818">
      <c r="A1818" t="inlineStr">
        <is>
          <t>0009029067</t>
        </is>
      </c>
      <c r="B1818" t="inlineStr">
        <is>
          <t>0000100049</t>
        </is>
      </c>
      <c r="C1818" s="3" t="n">
        <v>46005</v>
      </c>
      <c r="D1818" s="3" t="n">
        <v>46035</v>
      </c>
      <c r="E1818" s="4" t="n">
        <v>4701.51</v>
      </c>
      <c r="F1818">
        <f>Summary!$B$3-D1818</f>
        <v/>
      </c>
      <c r="G1818">
        <f>IF(D1818&gt;Summary!$B$3,"Current",IF(F1818&lt;=30,"0-30",IF(F1818&lt;=60,"31-60",IF(F1818&lt;=90,"61-90","90+"))))</f>
        <v/>
      </c>
    </row>
    <row r="1819">
      <c r="A1819" t="inlineStr">
        <is>
          <t>0009029068</t>
        </is>
      </c>
      <c r="B1819" t="inlineStr">
        <is>
          <t>0000100018</t>
        </is>
      </c>
      <c r="C1819" s="3" t="n">
        <v>46004</v>
      </c>
      <c r="D1819" s="3" t="n">
        <v>46034</v>
      </c>
      <c r="E1819" s="4" t="n">
        <v>274.1</v>
      </c>
      <c r="F1819">
        <f>Summary!$B$3-D1819</f>
        <v/>
      </c>
      <c r="G1819">
        <f>IF(D1819&gt;Summary!$B$3,"Current",IF(F1819&lt;=30,"0-30",IF(F1819&lt;=60,"31-60",IF(F1819&lt;=90,"61-90","90+"))))</f>
        <v/>
      </c>
    </row>
    <row r="1820">
      <c r="A1820" t="inlineStr">
        <is>
          <t>0009029069</t>
        </is>
      </c>
      <c r="B1820" t="inlineStr">
        <is>
          <t>0000100384</t>
        </is>
      </c>
      <c r="C1820" s="3" t="n">
        <v>46003</v>
      </c>
      <c r="D1820" s="3" t="n">
        <v>46033</v>
      </c>
      <c r="E1820" s="4" t="n">
        <v>1116.22</v>
      </c>
      <c r="F1820">
        <f>Summary!$B$3-D1820</f>
        <v/>
      </c>
      <c r="G1820">
        <f>IF(D1820&gt;Summary!$B$3,"Current",IF(F1820&lt;=30,"0-30",IF(F1820&lt;=60,"31-60",IF(F1820&lt;=90,"61-90","90+"))))</f>
        <v/>
      </c>
    </row>
    <row r="1821">
      <c r="A1821" t="inlineStr">
        <is>
          <t>0009029070</t>
        </is>
      </c>
      <c r="B1821" t="inlineStr">
        <is>
          <t>0000100450</t>
        </is>
      </c>
      <c r="C1821" s="3" t="n">
        <v>46007</v>
      </c>
      <c r="D1821" s="3" t="n">
        <v>46052</v>
      </c>
      <c r="E1821" s="4" t="n">
        <v>2551.6</v>
      </c>
      <c r="F1821">
        <f>Summary!$B$3-D1821</f>
        <v/>
      </c>
      <c r="G1821">
        <f>IF(D1821&gt;Summary!$B$3,"Current",IF(F1821&lt;=30,"0-30",IF(F1821&lt;=60,"31-60",IF(F1821&lt;=90,"61-90","90+"))))</f>
        <v/>
      </c>
    </row>
    <row r="1822">
      <c r="A1822" t="inlineStr">
        <is>
          <t>0009029071</t>
        </is>
      </c>
      <c r="B1822" t="inlineStr">
        <is>
          <t>0000100345</t>
        </is>
      </c>
      <c r="C1822" s="3" t="n">
        <v>45999</v>
      </c>
      <c r="D1822" s="3" t="n">
        <v>46029</v>
      </c>
      <c r="E1822" s="4" t="n">
        <v>244.58</v>
      </c>
      <c r="F1822">
        <f>Summary!$B$3-D1822</f>
        <v/>
      </c>
      <c r="G1822">
        <f>IF(D1822&gt;Summary!$B$3,"Current",IF(F1822&lt;=30,"0-30",IF(F1822&lt;=60,"31-60",IF(F1822&lt;=90,"61-90","90+"))))</f>
        <v/>
      </c>
    </row>
    <row r="1823">
      <c r="A1823" t="inlineStr">
        <is>
          <t>0009029072</t>
        </is>
      </c>
      <c r="B1823" t="inlineStr">
        <is>
          <t>0000100484</t>
        </is>
      </c>
      <c r="C1823" s="3" t="n">
        <v>46005</v>
      </c>
      <c r="D1823" s="3" t="n">
        <v>46065</v>
      </c>
      <c r="E1823" s="4" t="n">
        <v>746.53</v>
      </c>
      <c r="F1823">
        <f>Summary!$B$3-D1823</f>
        <v/>
      </c>
      <c r="G1823">
        <f>IF(D1823&gt;Summary!$B$3,"Current",IF(F1823&lt;=30,"0-30",IF(F1823&lt;=60,"31-60",IF(F1823&lt;=90,"61-90","90+"))))</f>
        <v/>
      </c>
    </row>
    <row r="1824">
      <c r="A1824" t="inlineStr">
        <is>
          <t>0009029073</t>
        </is>
      </c>
      <c r="B1824" t="inlineStr">
        <is>
          <t>0000100536</t>
        </is>
      </c>
      <c r="C1824" s="3" t="n">
        <v>46001</v>
      </c>
      <c r="D1824" s="3" t="n">
        <v>46031</v>
      </c>
      <c r="E1824" s="4" t="n">
        <v>1927.4</v>
      </c>
      <c r="F1824">
        <f>Summary!$B$3-D1824</f>
        <v/>
      </c>
      <c r="G1824">
        <f>IF(D1824&gt;Summary!$B$3,"Current",IF(F1824&lt;=30,"0-30",IF(F1824&lt;=60,"31-60",IF(F1824&lt;=90,"61-90","90+"))))</f>
        <v/>
      </c>
    </row>
    <row r="1825">
      <c r="A1825" t="inlineStr">
        <is>
          <t>0009029074</t>
        </is>
      </c>
      <c r="B1825" t="inlineStr">
        <is>
          <t>0000100049</t>
        </is>
      </c>
      <c r="C1825" s="3" t="n">
        <v>46007</v>
      </c>
      <c r="D1825" s="3" t="n">
        <v>46037</v>
      </c>
      <c r="E1825" s="4" t="n">
        <v>854.46</v>
      </c>
      <c r="F1825">
        <f>Summary!$B$3-D1825</f>
        <v/>
      </c>
      <c r="G1825">
        <f>IF(D1825&gt;Summary!$B$3,"Current",IF(F1825&lt;=30,"0-30",IF(F1825&lt;=60,"31-60",IF(F1825&lt;=90,"61-90","90+"))))</f>
        <v/>
      </c>
    </row>
    <row r="1826">
      <c r="A1826" t="inlineStr">
        <is>
          <t>0009029075</t>
        </is>
      </c>
      <c r="B1826" t="inlineStr">
        <is>
          <t>0000100254</t>
        </is>
      </c>
      <c r="C1826" s="3" t="n">
        <v>46000</v>
      </c>
      <c r="D1826" s="3" t="n">
        <v>46030</v>
      </c>
      <c r="E1826" s="4" t="n">
        <v>597.97</v>
      </c>
      <c r="F1826">
        <f>Summary!$B$3-D1826</f>
        <v/>
      </c>
      <c r="G1826">
        <f>IF(D1826&gt;Summary!$B$3,"Current",IF(F1826&lt;=30,"0-30",IF(F1826&lt;=60,"31-60",IF(F1826&lt;=90,"61-90","90+"))))</f>
        <v/>
      </c>
    </row>
    <row r="1827">
      <c r="A1827" t="inlineStr">
        <is>
          <t>0009029076</t>
        </is>
      </c>
      <c r="B1827" t="inlineStr">
        <is>
          <t>0000100043</t>
        </is>
      </c>
      <c r="C1827" s="3" t="n">
        <v>46006</v>
      </c>
      <c r="D1827" s="3" t="n">
        <v>46036</v>
      </c>
      <c r="E1827" s="4" t="n">
        <v>7401.75</v>
      </c>
      <c r="F1827">
        <f>Summary!$B$3-D1827</f>
        <v/>
      </c>
      <c r="G1827">
        <f>IF(D1827&gt;Summary!$B$3,"Current",IF(F1827&lt;=30,"0-30",IF(F1827&lt;=60,"31-60",IF(F1827&lt;=90,"61-90","90+"))))</f>
        <v/>
      </c>
    </row>
    <row r="1828">
      <c r="A1828" t="inlineStr">
        <is>
          <t>0009029077</t>
        </is>
      </c>
      <c r="B1828" t="inlineStr">
        <is>
          <t>0000100254</t>
        </is>
      </c>
      <c r="C1828" s="3" t="n">
        <v>46004</v>
      </c>
      <c r="D1828" s="3" t="n">
        <v>46034</v>
      </c>
      <c r="E1828" s="4" t="n">
        <v>1130.19</v>
      </c>
      <c r="F1828">
        <f>Summary!$B$3-D1828</f>
        <v/>
      </c>
      <c r="G1828">
        <f>IF(D1828&gt;Summary!$B$3,"Current",IF(F1828&lt;=30,"0-30",IF(F1828&lt;=60,"31-60",IF(F1828&lt;=90,"61-90","90+"))))</f>
        <v/>
      </c>
    </row>
    <row r="1829">
      <c r="A1829" t="inlineStr">
        <is>
          <t>0009029078</t>
        </is>
      </c>
      <c r="B1829" t="inlineStr">
        <is>
          <t>0000100058</t>
        </is>
      </c>
      <c r="C1829" s="3" t="n">
        <v>45999</v>
      </c>
      <c r="D1829" s="3" t="n">
        <v>46044</v>
      </c>
      <c r="E1829" s="4" t="n">
        <v>1396.22</v>
      </c>
      <c r="F1829">
        <f>Summary!$B$3-D1829</f>
        <v/>
      </c>
      <c r="G1829">
        <f>IF(D1829&gt;Summary!$B$3,"Current",IF(F1829&lt;=30,"0-30",IF(F1829&lt;=60,"31-60",IF(F1829&lt;=90,"61-90","90+"))))</f>
        <v/>
      </c>
    </row>
    <row r="1830">
      <c r="A1830" t="inlineStr">
        <is>
          <t>0009029079</t>
        </is>
      </c>
      <c r="B1830" t="inlineStr">
        <is>
          <t>0000100324</t>
        </is>
      </c>
      <c r="C1830" s="3" t="n">
        <v>46005</v>
      </c>
      <c r="D1830" s="3" t="n">
        <v>46035</v>
      </c>
      <c r="E1830" s="4" t="n">
        <v>137.07</v>
      </c>
      <c r="F1830">
        <f>Summary!$B$3-D1830</f>
        <v/>
      </c>
      <c r="G1830">
        <f>IF(D1830&gt;Summary!$B$3,"Current",IF(F1830&lt;=30,"0-30",IF(F1830&lt;=60,"31-60",IF(F1830&lt;=90,"61-90","90+"))))</f>
        <v/>
      </c>
    </row>
    <row r="1831">
      <c r="A1831" t="inlineStr">
        <is>
          <t>0009029080</t>
        </is>
      </c>
      <c r="B1831" t="inlineStr">
        <is>
          <t>0000100586</t>
        </is>
      </c>
      <c r="C1831" s="3" t="n">
        <v>46004</v>
      </c>
      <c r="D1831" s="3" t="n">
        <v>46034</v>
      </c>
      <c r="E1831" s="4" t="n">
        <v>1099.63</v>
      </c>
      <c r="F1831">
        <f>Summary!$B$3-D1831</f>
        <v/>
      </c>
      <c r="G1831">
        <f>IF(D1831&gt;Summary!$B$3,"Current",IF(F1831&lt;=30,"0-30",IF(F1831&lt;=60,"31-60",IF(F1831&lt;=90,"61-90","90+"))))</f>
        <v/>
      </c>
    </row>
    <row r="1832">
      <c r="A1832" t="inlineStr">
        <is>
          <t>0009029081</t>
        </is>
      </c>
      <c r="B1832" t="inlineStr">
        <is>
          <t>0000100223</t>
        </is>
      </c>
      <c r="C1832" s="3" t="n">
        <v>46002</v>
      </c>
      <c r="D1832" s="3" t="n">
        <v>46047</v>
      </c>
      <c r="E1832" s="4" t="n">
        <v>1201.97</v>
      </c>
      <c r="F1832">
        <f>Summary!$B$3-D1832</f>
        <v/>
      </c>
      <c r="G1832">
        <f>IF(D1832&gt;Summary!$B$3,"Current",IF(F1832&lt;=30,"0-30",IF(F1832&lt;=60,"31-60",IF(F1832&lt;=90,"61-90","90+"))))</f>
        <v/>
      </c>
    </row>
    <row r="1833">
      <c r="A1833" t="inlineStr">
        <is>
          <t>0009029082</t>
        </is>
      </c>
      <c r="B1833" t="inlineStr">
        <is>
          <t>0000100382</t>
        </is>
      </c>
      <c r="C1833" s="3" t="n">
        <v>46002</v>
      </c>
      <c r="D1833" s="3" t="n">
        <v>46047</v>
      </c>
      <c r="E1833" s="4" t="n">
        <v>1009.35</v>
      </c>
      <c r="F1833">
        <f>Summary!$B$3-D1833</f>
        <v/>
      </c>
      <c r="G1833">
        <f>IF(D1833&gt;Summary!$B$3,"Current",IF(F1833&lt;=30,"0-30",IF(F1833&lt;=60,"31-60",IF(F1833&lt;=90,"61-90","90+"))))</f>
        <v/>
      </c>
    </row>
    <row r="1834">
      <c r="A1834" t="inlineStr">
        <is>
          <t>0009029083</t>
        </is>
      </c>
      <c r="B1834" t="inlineStr">
        <is>
          <t>0000100018</t>
        </is>
      </c>
      <c r="C1834" s="3" t="n">
        <v>46003</v>
      </c>
      <c r="D1834" s="3" t="n">
        <v>46033</v>
      </c>
      <c r="E1834" s="4" t="n">
        <v>405.53</v>
      </c>
      <c r="F1834">
        <f>Summary!$B$3-D1834</f>
        <v/>
      </c>
      <c r="G1834">
        <f>IF(D1834&gt;Summary!$B$3,"Current",IF(F1834&lt;=30,"0-30",IF(F1834&lt;=60,"31-60",IF(F1834&lt;=90,"61-90","90+"))))</f>
        <v/>
      </c>
    </row>
    <row r="1835">
      <c r="A1835" t="inlineStr">
        <is>
          <t>0009029084</t>
        </is>
      </c>
      <c r="B1835" t="inlineStr">
        <is>
          <t>0000100116</t>
        </is>
      </c>
      <c r="C1835" s="3" t="n">
        <v>45999</v>
      </c>
      <c r="D1835" s="3" t="n">
        <v>46044</v>
      </c>
      <c r="E1835" s="4" t="n">
        <v>2708.03</v>
      </c>
      <c r="F1835">
        <f>Summary!$B$3-D1835</f>
        <v/>
      </c>
      <c r="G1835">
        <f>IF(D1835&gt;Summary!$B$3,"Current",IF(F1835&lt;=30,"0-30",IF(F1835&lt;=60,"31-60",IF(F1835&lt;=90,"61-90","90+"))))</f>
        <v/>
      </c>
    </row>
    <row r="1836">
      <c r="A1836" t="inlineStr">
        <is>
          <t>0009029085</t>
        </is>
      </c>
      <c r="B1836" t="inlineStr">
        <is>
          <t>0000100379</t>
        </is>
      </c>
      <c r="C1836" s="3" t="n">
        <v>46005</v>
      </c>
      <c r="D1836" s="3" t="n">
        <v>46035</v>
      </c>
      <c r="E1836" s="4" t="n">
        <v>1355.18</v>
      </c>
      <c r="F1836">
        <f>Summary!$B$3-D1836</f>
        <v/>
      </c>
      <c r="G1836">
        <f>IF(D1836&gt;Summary!$B$3,"Current",IF(F1836&lt;=30,"0-30",IF(F1836&lt;=60,"31-60",IF(F1836&lt;=90,"61-90","90+"))))</f>
        <v/>
      </c>
    </row>
    <row r="1837">
      <c r="A1837" t="inlineStr">
        <is>
          <t>0009029086</t>
        </is>
      </c>
      <c r="B1837" t="inlineStr">
        <is>
          <t>0000100550</t>
        </is>
      </c>
      <c r="C1837" s="3" t="n">
        <v>46004</v>
      </c>
      <c r="D1837" s="3" t="n">
        <v>46034</v>
      </c>
      <c r="E1837" s="4" t="n">
        <v>722</v>
      </c>
      <c r="F1837">
        <f>Summary!$B$3-D1837</f>
        <v/>
      </c>
      <c r="G1837">
        <f>IF(D1837&gt;Summary!$B$3,"Current",IF(F1837&lt;=30,"0-30",IF(F1837&lt;=60,"31-60",IF(F1837&lt;=90,"61-90","90+"))))</f>
        <v/>
      </c>
    </row>
    <row r="1838">
      <c r="A1838" t="inlineStr">
        <is>
          <t>0009029087</t>
        </is>
      </c>
      <c r="B1838" t="inlineStr">
        <is>
          <t>0000100543</t>
        </is>
      </c>
      <c r="C1838" s="3" t="n">
        <v>46000</v>
      </c>
      <c r="D1838" s="3" t="n">
        <v>46060</v>
      </c>
      <c r="E1838" s="4" t="n">
        <v>5966.75</v>
      </c>
      <c r="F1838">
        <f>Summary!$B$3-D1838</f>
        <v/>
      </c>
      <c r="G1838">
        <f>IF(D1838&gt;Summary!$B$3,"Current",IF(F1838&lt;=30,"0-30",IF(F1838&lt;=60,"31-60",IF(F1838&lt;=90,"61-90","90+"))))</f>
        <v/>
      </c>
    </row>
    <row r="1839">
      <c r="A1839" t="inlineStr">
        <is>
          <t>0009029088</t>
        </is>
      </c>
      <c r="B1839" t="inlineStr">
        <is>
          <t>0000100058</t>
        </is>
      </c>
      <c r="C1839" s="3" t="n">
        <v>45998</v>
      </c>
      <c r="D1839" s="3" t="n">
        <v>46043</v>
      </c>
      <c r="E1839" s="4" t="n">
        <v>589.48</v>
      </c>
      <c r="F1839">
        <f>Summary!$B$3-D1839</f>
        <v/>
      </c>
      <c r="G1839">
        <f>IF(D1839&gt;Summary!$B$3,"Current",IF(F1839&lt;=30,"0-30",IF(F1839&lt;=60,"31-60",IF(F1839&lt;=90,"61-90","90+"))))</f>
        <v/>
      </c>
    </row>
    <row r="1840">
      <c r="A1840" t="inlineStr">
        <is>
          <t>0009029089</t>
        </is>
      </c>
      <c r="B1840" t="inlineStr">
        <is>
          <t>0000100516</t>
        </is>
      </c>
      <c r="C1840" s="3" t="n">
        <v>46005</v>
      </c>
      <c r="D1840" s="3" t="n">
        <v>46035</v>
      </c>
      <c r="E1840" s="4" t="n">
        <v>585.11</v>
      </c>
      <c r="F1840">
        <f>Summary!$B$3-D1840</f>
        <v/>
      </c>
      <c r="G1840">
        <f>IF(D1840&gt;Summary!$B$3,"Current",IF(F1840&lt;=30,"0-30",IF(F1840&lt;=60,"31-60",IF(F1840&lt;=90,"61-90","90+"))))</f>
        <v/>
      </c>
    </row>
    <row r="1841">
      <c r="A1841" t="inlineStr">
        <is>
          <t>0009029090</t>
        </is>
      </c>
      <c r="B1841" t="inlineStr">
        <is>
          <t>0000100576</t>
        </is>
      </c>
      <c r="C1841" s="3" t="n">
        <v>46004</v>
      </c>
      <c r="D1841" s="3" t="n">
        <v>46034</v>
      </c>
      <c r="E1841" s="4" t="n">
        <v>1766.97</v>
      </c>
      <c r="F1841">
        <f>Summary!$B$3-D1841</f>
        <v/>
      </c>
      <c r="G1841">
        <f>IF(D1841&gt;Summary!$B$3,"Current",IF(F1841&lt;=30,"0-30",IF(F1841&lt;=60,"31-60",IF(F1841&lt;=90,"61-90","90+"))))</f>
        <v/>
      </c>
    </row>
    <row r="1842">
      <c r="A1842" t="inlineStr">
        <is>
          <t>0009029091</t>
        </is>
      </c>
      <c r="B1842" t="inlineStr">
        <is>
          <t>0000100587</t>
        </is>
      </c>
      <c r="C1842" s="3" t="n">
        <v>46002</v>
      </c>
      <c r="D1842" s="3" t="n">
        <v>46062</v>
      </c>
      <c r="E1842" s="4" t="n">
        <v>634.6</v>
      </c>
      <c r="F1842">
        <f>Summary!$B$3-D1842</f>
        <v/>
      </c>
      <c r="G1842">
        <f>IF(D1842&gt;Summary!$B$3,"Current",IF(F1842&lt;=30,"0-30",IF(F1842&lt;=60,"31-60",IF(F1842&lt;=90,"61-90","90+"))))</f>
        <v/>
      </c>
    </row>
    <row r="1843">
      <c r="A1843" t="inlineStr">
        <is>
          <t>0009029092</t>
        </is>
      </c>
      <c r="B1843" t="inlineStr">
        <is>
          <t>0000100094</t>
        </is>
      </c>
      <c r="C1843" s="3" t="n">
        <v>46001</v>
      </c>
      <c r="D1843" s="3" t="n">
        <v>46061</v>
      </c>
      <c r="E1843" s="4" t="n">
        <v>2196.67</v>
      </c>
      <c r="F1843">
        <f>Summary!$B$3-D1843</f>
        <v/>
      </c>
      <c r="G1843">
        <f>IF(D1843&gt;Summary!$B$3,"Current",IF(F1843&lt;=30,"0-30",IF(F1843&lt;=60,"31-60",IF(F1843&lt;=90,"61-90","90+"))))</f>
        <v/>
      </c>
    </row>
    <row r="1844">
      <c r="A1844" t="inlineStr">
        <is>
          <t>0009029093</t>
        </is>
      </c>
      <c r="B1844" t="inlineStr">
        <is>
          <t>0000100115</t>
        </is>
      </c>
      <c r="C1844" s="3" t="n">
        <v>46001</v>
      </c>
      <c r="D1844" s="3" t="n">
        <v>46031</v>
      </c>
      <c r="E1844" s="4" t="n">
        <v>844.61</v>
      </c>
      <c r="F1844">
        <f>Summary!$B$3-D1844</f>
        <v/>
      </c>
      <c r="G1844">
        <f>IF(D1844&gt;Summary!$B$3,"Current",IF(F1844&lt;=30,"0-30",IF(F1844&lt;=60,"31-60",IF(F1844&lt;=90,"61-90","90+"))))</f>
        <v/>
      </c>
    </row>
    <row r="1845">
      <c r="A1845" t="inlineStr">
        <is>
          <t>0009029094</t>
        </is>
      </c>
      <c r="B1845" t="inlineStr">
        <is>
          <t>0000100587</t>
        </is>
      </c>
      <c r="C1845" s="3" t="n">
        <v>46002</v>
      </c>
      <c r="D1845" s="3" t="n">
        <v>46062</v>
      </c>
      <c r="E1845" s="4" t="n">
        <v>527.97</v>
      </c>
      <c r="F1845">
        <f>Summary!$B$3-D1845</f>
        <v/>
      </c>
      <c r="G1845">
        <f>IF(D1845&gt;Summary!$B$3,"Current",IF(F1845&lt;=30,"0-30",IF(F1845&lt;=60,"31-60",IF(F1845&lt;=90,"61-90","90+"))))</f>
        <v/>
      </c>
    </row>
    <row r="1846">
      <c r="A1846" t="inlineStr">
        <is>
          <t>0009029095</t>
        </is>
      </c>
      <c r="B1846" t="inlineStr">
        <is>
          <t>0000100588</t>
        </is>
      </c>
      <c r="C1846" s="3" t="n">
        <v>46000</v>
      </c>
      <c r="D1846" s="3" t="n">
        <v>46030</v>
      </c>
      <c r="E1846" s="4" t="n">
        <v>671.52</v>
      </c>
      <c r="F1846">
        <f>Summary!$B$3-D1846</f>
        <v/>
      </c>
      <c r="G1846">
        <f>IF(D1846&gt;Summary!$B$3,"Current",IF(F1846&lt;=30,"0-30",IF(F1846&lt;=60,"31-60",IF(F1846&lt;=90,"61-90","90+"))))</f>
        <v/>
      </c>
    </row>
    <row r="1847">
      <c r="A1847" t="inlineStr">
        <is>
          <t>0009029096</t>
        </is>
      </c>
      <c r="B1847" t="inlineStr">
        <is>
          <t>0000100069</t>
        </is>
      </c>
      <c r="C1847" s="3" t="n">
        <v>46002</v>
      </c>
      <c r="D1847" s="3" t="n">
        <v>46032</v>
      </c>
      <c r="E1847" s="4" t="n">
        <v>621.1799999999999</v>
      </c>
      <c r="F1847">
        <f>Summary!$B$3-D1847</f>
        <v/>
      </c>
      <c r="G1847">
        <f>IF(D1847&gt;Summary!$B$3,"Current",IF(F1847&lt;=30,"0-30",IF(F1847&lt;=60,"31-60",IF(F1847&lt;=90,"61-90","90+"))))</f>
        <v/>
      </c>
    </row>
    <row r="1848">
      <c r="A1848" t="inlineStr">
        <is>
          <t>0009029097</t>
        </is>
      </c>
      <c r="B1848" t="inlineStr">
        <is>
          <t>0000100417</t>
        </is>
      </c>
      <c r="C1848" s="3" t="n">
        <v>46003</v>
      </c>
      <c r="D1848" s="3" t="n">
        <v>46063</v>
      </c>
      <c r="E1848" s="4" t="n">
        <v>905.42</v>
      </c>
      <c r="F1848">
        <f>Summary!$B$3-D1848</f>
        <v/>
      </c>
      <c r="G1848">
        <f>IF(D1848&gt;Summary!$B$3,"Current",IF(F1848&lt;=30,"0-30",IF(F1848&lt;=60,"31-60",IF(F1848&lt;=90,"61-90","90+"))))</f>
        <v/>
      </c>
    </row>
    <row r="1849">
      <c r="A1849" t="inlineStr">
        <is>
          <t>0009029098</t>
        </is>
      </c>
      <c r="B1849" t="inlineStr">
        <is>
          <t>0000100383</t>
        </is>
      </c>
      <c r="C1849" s="3" t="n">
        <v>46001</v>
      </c>
      <c r="D1849" s="3" t="n">
        <v>46031</v>
      </c>
      <c r="E1849" s="4" t="n">
        <v>2803.42</v>
      </c>
      <c r="F1849">
        <f>Summary!$B$3-D1849</f>
        <v/>
      </c>
      <c r="G1849">
        <f>IF(D1849&gt;Summary!$B$3,"Current",IF(F1849&lt;=30,"0-30",IF(F1849&lt;=60,"31-60",IF(F1849&lt;=90,"61-90","90+"))))</f>
        <v/>
      </c>
    </row>
    <row r="1850">
      <c r="A1850" t="inlineStr">
        <is>
          <t>0009029099</t>
        </is>
      </c>
      <c r="B1850" t="inlineStr">
        <is>
          <t>0000100240</t>
        </is>
      </c>
      <c r="C1850" s="3" t="n">
        <v>46012</v>
      </c>
      <c r="D1850" s="3" t="n">
        <v>46042</v>
      </c>
      <c r="E1850" s="4" t="n">
        <v>282.16</v>
      </c>
      <c r="F1850">
        <f>Summary!$B$3-D1850</f>
        <v/>
      </c>
      <c r="G1850">
        <f>IF(D1850&gt;Summary!$B$3,"Current",IF(F1850&lt;=30,"0-30",IF(F1850&lt;=60,"31-60",IF(F1850&lt;=90,"61-90","90+"))))</f>
        <v/>
      </c>
    </row>
    <row r="1851">
      <c r="A1851" t="inlineStr">
        <is>
          <t>0009029100</t>
        </is>
      </c>
      <c r="B1851" t="inlineStr">
        <is>
          <t>0000100516</t>
        </is>
      </c>
      <c r="C1851" s="3" t="n">
        <v>46002</v>
      </c>
      <c r="D1851" s="3" t="n">
        <v>46032</v>
      </c>
      <c r="E1851" s="4" t="n">
        <v>6788.73</v>
      </c>
      <c r="F1851">
        <f>Summary!$B$3-D1851</f>
        <v/>
      </c>
      <c r="G1851">
        <f>IF(D1851&gt;Summary!$B$3,"Current",IF(F1851&lt;=30,"0-30",IF(F1851&lt;=60,"31-60",IF(F1851&lt;=90,"61-90","90+"))))</f>
        <v/>
      </c>
    </row>
    <row r="1852">
      <c r="A1852" t="inlineStr">
        <is>
          <t>0009029102</t>
        </is>
      </c>
      <c r="B1852" t="inlineStr">
        <is>
          <t>0000100441</t>
        </is>
      </c>
      <c r="C1852" s="3" t="n">
        <v>46000</v>
      </c>
      <c r="D1852" s="3" t="n">
        <v>46045</v>
      </c>
      <c r="E1852" s="4" t="n">
        <v>353.19</v>
      </c>
      <c r="F1852">
        <f>Summary!$B$3-D1852</f>
        <v/>
      </c>
      <c r="G1852">
        <f>IF(D1852&gt;Summary!$B$3,"Current",IF(F1852&lt;=30,"0-30",IF(F1852&lt;=60,"31-60",IF(F1852&lt;=90,"61-90","90+"))))</f>
        <v/>
      </c>
    </row>
    <row r="1853">
      <c r="A1853" t="inlineStr">
        <is>
          <t>0009029103</t>
        </is>
      </c>
      <c r="B1853" t="inlineStr">
        <is>
          <t>0000100393</t>
        </is>
      </c>
      <c r="C1853" s="3" t="n">
        <v>46006</v>
      </c>
      <c r="D1853" s="3" t="n">
        <v>46036</v>
      </c>
      <c r="E1853" s="4" t="n">
        <v>2479.9</v>
      </c>
      <c r="F1853">
        <f>Summary!$B$3-D1853</f>
        <v/>
      </c>
      <c r="G1853">
        <f>IF(D1853&gt;Summary!$B$3,"Current",IF(F1853&lt;=30,"0-30",IF(F1853&lt;=60,"31-60",IF(F1853&lt;=90,"61-90","90+"))))</f>
        <v/>
      </c>
    </row>
    <row r="1854">
      <c r="A1854" t="inlineStr">
        <is>
          <t>0009029104</t>
        </is>
      </c>
      <c r="B1854" t="inlineStr">
        <is>
          <t>0000100313</t>
        </is>
      </c>
      <c r="C1854" s="3" t="n">
        <v>46006</v>
      </c>
      <c r="D1854" s="3" t="n">
        <v>46066</v>
      </c>
      <c r="E1854" s="4" t="n">
        <v>2618.38</v>
      </c>
      <c r="F1854">
        <f>Summary!$B$3-D1854</f>
        <v/>
      </c>
      <c r="G1854">
        <f>IF(D1854&gt;Summary!$B$3,"Current",IF(F1854&lt;=30,"0-30",IF(F1854&lt;=60,"31-60",IF(F1854&lt;=90,"61-90","90+"))))</f>
        <v/>
      </c>
    </row>
    <row r="1855">
      <c r="A1855" t="inlineStr">
        <is>
          <t>0009029105</t>
        </is>
      </c>
      <c r="B1855" t="inlineStr">
        <is>
          <t>0000100330</t>
        </is>
      </c>
      <c r="C1855" s="3" t="n">
        <v>46010</v>
      </c>
      <c r="D1855" s="3" t="n">
        <v>46040</v>
      </c>
      <c r="E1855" s="4" t="n">
        <v>521.9400000000001</v>
      </c>
      <c r="F1855">
        <f>Summary!$B$3-D1855</f>
        <v/>
      </c>
      <c r="G1855">
        <f>IF(D1855&gt;Summary!$B$3,"Current",IF(F1855&lt;=30,"0-30",IF(F1855&lt;=60,"31-60",IF(F1855&lt;=90,"61-90","90+"))))</f>
        <v/>
      </c>
    </row>
    <row r="1856">
      <c r="A1856" t="inlineStr">
        <is>
          <t>0009029106</t>
        </is>
      </c>
      <c r="B1856" t="inlineStr">
        <is>
          <t>0000100400</t>
        </is>
      </c>
      <c r="C1856" s="3" t="n">
        <v>46005</v>
      </c>
      <c r="D1856" s="3" t="n">
        <v>46035</v>
      </c>
      <c r="E1856" s="4" t="n">
        <v>761.46</v>
      </c>
      <c r="F1856">
        <f>Summary!$B$3-D1856</f>
        <v/>
      </c>
      <c r="G1856">
        <f>IF(D1856&gt;Summary!$B$3,"Current",IF(F1856&lt;=30,"0-30",IF(F1856&lt;=60,"31-60",IF(F1856&lt;=90,"61-90","90+"))))</f>
        <v/>
      </c>
    </row>
    <row r="1857">
      <c r="A1857" t="inlineStr">
        <is>
          <t>0009029107</t>
        </is>
      </c>
      <c r="B1857" t="inlineStr">
        <is>
          <t>0000100508</t>
        </is>
      </c>
      <c r="C1857" s="3" t="n">
        <v>46003</v>
      </c>
      <c r="D1857" s="3" t="n">
        <v>46063</v>
      </c>
      <c r="E1857" s="4" t="n">
        <v>544.14</v>
      </c>
      <c r="F1857">
        <f>Summary!$B$3-D1857</f>
        <v/>
      </c>
      <c r="G1857">
        <f>IF(D1857&gt;Summary!$B$3,"Current",IF(F1857&lt;=30,"0-30",IF(F1857&lt;=60,"31-60",IF(F1857&lt;=90,"61-90","90+"))))</f>
        <v/>
      </c>
    </row>
    <row r="1858">
      <c r="A1858" t="inlineStr">
        <is>
          <t>0009029108</t>
        </is>
      </c>
      <c r="B1858" t="inlineStr">
        <is>
          <t>0000100394</t>
        </is>
      </c>
      <c r="C1858" s="3" t="n">
        <v>46005</v>
      </c>
      <c r="D1858" s="3" t="n">
        <v>46065</v>
      </c>
      <c r="E1858" s="4" t="n">
        <v>244.92</v>
      </c>
      <c r="F1858">
        <f>Summary!$B$3-D1858</f>
        <v/>
      </c>
      <c r="G1858">
        <f>IF(D1858&gt;Summary!$B$3,"Current",IF(F1858&lt;=30,"0-30",IF(F1858&lt;=60,"31-60",IF(F1858&lt;=90,"61-90","90+"))))</f>
        <v/>
      </c>
    </row>
    <row r="1859">
      <c r="A1859" t="inlineStr">
        <is>
          <t>0009029109</t>
        </is>
      </c>
      <c r="B1859" t="inlineStr">
        <is>
          <t>0000100019</t>
        </is>
      </c>
      <c r="C1859" s="3" t="n">
        <v>46002</v>
      </c>
      <c r="D1859" s="3" t="n">
        <v>46032</v>
      </c>
      <c r="E1859" s="4" t="n">
        <v>433.99</v>
      </c>
      <c r="F1859">
        <f>Summary!$B$3-D1859</f>
        <v/>
      </c>
      <c r="G1859">
        <f>IF(D1859&gt;Summary!$B$3,"Current",IF(F1859&lt;=30,"0-30",IF(F1859&lt;=60,"31-60",IF(F1859&lt;=90,"61-90","90+"))))</f>
        <v/>
      </c>
    </row>
    <row r="1860">
      <c r="A1860" t="inlineStr">
        <is>
          <t>0009029110</t>
        </is>
      </c>
      <c r="B1860" t="inlineStr">
        <is>
          <t>0000100096</t>
        </is>
      </c>
      <c r="C1860" s="3" t="n">
        <v>46000</v>
      </c>
      <c r="D1860" s="3" t="n">
        <v>46045</v>
      </c>
      <c r="E1860" s="4" t="n">
        <v>320.56</v>
      </c>
      <c r="F1860">
        <f>Summary!$B$3-D1860</f>
        <v/>
      </c>
      <c r="G1860">
        <f>IF(D1860&gt;Summary!$B$3,"Current",IF(F1860&lt;=30,"0-30",IF(F1860&lt;=60,"31-60",IF(F1860&lt;=90,"61-90","90+"))))</f>
        <v/>
      </c>
    </row>
    <row r="1861">
      <c r="A1861" t="inlineStr">
        <is>
          <t>0009029111</t>
        </is>
      </c>
      <c r="B1861" t="inlineStr">
        <is>
          <t>0000100307</t>
        </is>
      </c>
      <c r="C1861" s="3" t="n">
        <v>46006</v>
      </c>
      <c r="D1861" s="3" t="n">
        <v>46036</v>
      </c>
      <c r="E1861" s="4" t="n">
        <v>671.97</v>
      </c>
      <c r="F1861">
        <f>Summary!$B$3-D1861</f>
        <v/>
      </c>
      <c r="G1861">
        <f>IF(D1861&gt;Summary!$B$3,"Current",IF(F1861&lt;=30,"0-30",IF(F1861&lt;=60,"31-60",IF(F1861&lt;=90,"61-90","90+"))))</f>
        <v/>
      </c>
    </row>
    <row r="1862">
      <c r="A1862" t="inlineStr">
        <is>
          <t>0009029112</t>
        </is>
      </c>
      <c r="B1862" t="inlineStr">
        <is>
          <t>0000100369</t>
        </is>
      </c>
      <c r="C1862" s="3" t="n">
        <v>46007</v>
      </c>
      <c r="D1862" s="3" t="n">
        <v>46037</v>
      </c>
      <c r="E1862" s="4" t="n">
        <v>881.9</v>
      </c>
      <c r="F1862">
        <f>Summary!$B$3-D1862</f>
        <v/>
      </c>
      <c r="G1862">
        <f>IF(D1862&gt;Summary!$B$3,"Current",IF(F1862&lt;=30,"0-30",IF(F1862&lt;=60,"31-60",IF(F1862&lt;=90,"61-90","90+"))))</f>
        <v/>
      </c>
    </row>
    <row r="1863">
      <c r="A1863" t="inlineStr">
        <is>
          <t>0009029113</t>
        </is>
      </c>
      <c r="B1863" t="inlineStr">
        <is>
          <t>0000100393</t>
        </is>
      </c>
      <c r="C1863" s="3" t="n">
        <v>46007</v>
      </c>
      <c r="D1863" s="3" t="n">
        <v>46037</v>
      </c>
      <c r="E1863" s="4" t="n">
        <v>60.8</v>
      </c>
      <c r="F1863">
        <f>Summary!$B$3-D1863</f>
        <v/>
      </c>
      <c r="G1863">
        <f>IF(D1863&gt;Summary!$B$3,"Current",IF(F1863&lt;=30,"0-30",IF(F1863&lt;=60,"31-60",IF(F1863&lt;=90,"61-90","90+"))))</f>
        <v/>
      </c>
    </row>
    <row r="1864">
      <c r="A1864" t="inlineStr">
        <is>
          <t>0009029114</t>
        </is>
      </c>
      <c r="B1864" t="inlineStr">
        <is>
          <t>0000100400</t>
        </is>
      </c>
      <c r="C1864" s="3" t="n">
        <v>46009</v>
      </c>
      <c r="D1864" s="3" t="n">
        <v>46039</v>
      </c>
      <c r="E1864" s="4" t="n">
        <v>3838.3</v>
      </c>
      <c r="F1864">
        <f>Summary!$B$3-D1864</f>
        <v/>
      </c>
      <c r="G1864">
        <f>IF(D1864&gt;Summary!$B$3,"Current",IF(F1864&lt;=30,"0-30",IF(F1864&lt;=60,"31-60",IF(F1864&lt;=90,"61-90","90+"))))</f>
        <v/>
      </c>
    </row>
    <row r="1865">
      <c r="A1865" t="inlineStr">
        <is>
          <t>0009029115</t>
        </is>
      </c>
      <c r="B1865" t="inlineStr">
        <is>
          <t>0000100164</t>
        </is>
      </c>
      <c r="C1865" s="3" t="n">
        <v>46004</v>
      </c>
      <c r="D1865" s="3" t="n">
        <v>46064</v>
      </c>
      <c r="E1865" s="4" t="n">
        <v>964.37</v>
      </c>
      <c r="F1865">
        <f>Summary!$B$3-D1865</f>
        <v/>
      </c>
      <c r="G1865">
        <f>IF(D1865&gt;Summary!$B$3,"Current",IF(F1865&lt;=30,"0-30",IF(F1865&lt;=60,"31-60",IF(F1865&lt;=90,"61-90","90+"))))</f>
        <v/>
      </c>
    </row>
    <row r="1866">
      <c r="A1866" t="inlineStr">
        <is>
          <t>0009029116</t>
        </is>
      </c>
      <c r="B1866" t="inlineStr">
        <is>
          <t>0000100169</t>
        </is>
      </c>
      <c r="C1866" s="3" t="n">
        <v>46008</v>
      </c>
      <c r="D1866" s="3" t="n">
        <v>46053</v>
      </c>
      <c r="E1866" s="4" t="n">
        <v>1334.13</v>
      </c>
      <c r="F1866">
        <f>Summary!$B$3-D1866</f>
        <v/>
      </c>
      <c r="G1866">
        <f>IF(D1866&gt;Summary!$B$3,"Current",IF(F1866&lt;=30,"0-30",IF(F1866&lt;=60,"31-60",IF(F1866&lt;=90,"61-90","90+"))))</f>
        <v/>
      </c>
    </row>
    <row r="1867">
      <c r="A1867" t="inlineStr">
        <is>
          <t>0009029117</t>
        </is>
      </c>
      <c r="B1867" t="inlineStr">
        <is>
          <t>0000100326</t>
        </is>
      </c>
      <c r="C1867" s="3" t="n">
        <v>46003</v>
      </c>
      <c r="D1867" s="3" t="n">
        <v>46033</v>
      </c>
      <c r="E1867" s="4" t="n">
        <v>4283.96</v>
      </c>
      <c r="F1867">
        <f>Summary!$B$3-D1867</f>
        <v/>
      </c>
      <c r="G1867">
        <f>IF(D1867&gt;Summary!$B$3,"Current",IF(F1867&lt;=30,"0-30",IF(F1867&lt;=60,"31-60",IF(F1867&lt;=90,"61-90","90+"))))</f>
        <v/>
      </c>
    </row>
    <row r="1868">
      <c r="A1868" t="inlineStr">
        <is>
          <t>0009029118</t>
        </is>
      </c>
      <c r="B1868" t="inlineStr">
        <is>
          <t>0000100021</t>
        </is>
      </c>
      <c r="C1868" s="3" t="n">
        <v>46006</v>
      </c>
      <c r="D1868" s="3" t="n">
        <v>46036</v>
      </c>
      <c r="E1868" s="4" t="n">
        <v>1179.28</v>
      </c>
      <c r="F1868">
        <f>Summary!$B$3-D1868</f>
        <v/>
      </c>
      <c r="G1868">
        <f>IF(D1868&gt;Summary!$B$3,"Current",IF(F1868&lt;=30,"0-30",IF(F1868&lt;=60,"31-60",IF(F1868&lt;=90,"61-90","90+"))))</f>
        <v/>
      </c>
    </row>
    <row r="1869">
      <c r="A1869" t="inlineStr">
        <is>
          <t>0009029119</t>
        </is>
      </c>
      <c r="B1869" t="inlineStr">
        <is>
          <t>0000100450</t>
        </is>
      </c>
      <c r="C1869" s="3" t="n">
        <v>46001</v>
      </c>
      <c r="D1869" s="3" t="n">
        <v>46046</v>
      </c>
      <c r="E1869" s="4" t="n">
        <v>1593.23</v>
      </c>
      <c r="F1869">
        <f>Summary!$B$3-D1869</f>
        <v/>
      </c>
      <c r="G1869">
        <f>IF(D1869&gt;Summary!$B$3,"Current",IF(F1869&lt;=30,"0-30",IF(F1869&lt;=60,"31-60",IF(F1869&lt;=90,"61-90","90+"))))</f>
        <v/>
      </c>
    </row>
    <row r="1870">
      <c r="A1870" t="inlineStr">
        <is>
          <t>0009029120</t>
        </is>
      </c>
      <c r="B1870" t="inlineStr">
        <is>
          <t>0000100046</t>
        </is>
      </c>
      <c r="C1870" s="3" t="n">
        <v>46001</v>
      </c>
      <c r="D1870" s="3" t="n">
        <v>46031</v>
      </c>
      <c r="E1870" s="4" t="n">
        <v>82.5</v>
      </c>
      <c r="F1870">
        <f>Summary!$B$3-D1870</f>
        <v/>
      </c>
      <c r="G1870">
        <f>IF(D1870&gt;Summary!$B$3,"Current",IF(F1870&lt;=30,"0-30",IF(F1870&lt;=60,"31-60",IF(F1870&lt;=90,"61-90","90+"))))</f>
        <v/>
      </c>
    </row>
    <row r="1871">
      <c r="A1871" t="inlineStr">
        <is>
          <t>0009029121</t>
        </is>
      </c>
      <c r="B1871" t="inlineStr">
        <is>
          <t>0000100434</t>
        </is>
      </c>
      <c r="C1871" s="3" t="n">
        <v>46001</v>
      </c>
      <c r="D1871" s="3" t="n">
        <v>46031</v>
      </c>
      <c r="E1871" s="4" t="n">
        <v>1726.11</v>
      </c>
      <c r="F1871">
        <f>Summary!$B$3-D1871</f>
        <v/>
      </c>
      <c r="G1871">
        <f>IF(D1871&gt;Summary!$B$3,"Current",IF(F1871&lt;=30,"0-30",IF(F1871&lt;=60,"31-60",IF(F1871&lt;=90,"61-90","90+"))))</f>
        <v/>
      </c>
    </row>
    <row r="1872">
      <c r="A1872" t="inlineStr">
        <is>
          <t>0009029122</t>
        </is>
      </c>
      <c r="B1872" t="inlineStr">
        <is>
          <t>0000100377</t>
        </is>
      </c>
      <c r="C1872" s="3" t="n">
        <v>46003</v>
      </c>
      <c r="D1872" s="3" t="n">
        <v>46033</v>
      </c>
      <c r="E1872" s="4" t="n">
        <v>229.32</v>
      </c>
      <c r="F1872">
        <f>Summary!$B$3-D1872</f>
        <v/>
      </c>
      <c r="G1872">
        <f>IF(D1872&gt;Summary!$B$3,"Current",IF(F1872&lt;=30,"0-30",IF(F1872&lt;=60,"31-60",IF(F1872&lt;=90,"61-90","90+"))))</f>
        <v/>
      </c>
    </row>
    <row r="1873">
      <c r="A1873" t="inlineStr">
        <is>
          <t>0009029123</t>
        </is>
      </c>
      <c r="B1873" t="inlineStr">
        <is>
          <t>0000100420</t>
        </is>
      </c>
      <c r="C1873" s="3" t="n">
        <v>46008</v>
      </c>
      <c r="D1873" s="3" t="n">
        <v>46068</v>
      </c>
      <c r="E1873" s="4" t="n">
        <v>356.85</v>
      </c>
      <c r="F1873">
        <f>Summary!$B$3-D1873</f>
        <v/>
      </c>
      <c r="G1873">
        <f>IF(D1873&gt;Summary!$B$3,"Current",IF(F1873&lt;=30,"0-30",IF(F1873&lt;=60,"31-60",IF(F1873&lt;=90,"61-90","90+"))))</f>
        <v/>
      </c>
    </row>
    <row r="1874">
      <c r="A1874" t="inlineStr">
        <is>
          <t>0009029124</t>
        </is>
      </c>
      <c r="B1874" t="inlineStr">
        <is>
          <t>0000100571</t>
        </is>
      </c>
      <c r="C1874" s="3" t="n">
        <v>46006</v>
      </c>
      <c r="D1874" s="3" t="n">
        <v>46051</v>
      </c>
      <c r="E1874" s="4" t="n">
        <v>596.5700000000001</v>
      </c>
      <c r="F1874">
        <f>Summary!$B$3-D1874</f>
        <v/>
      </c>
      <c r="G1874">
        <f>IF(D1874&gt;Summary!$B$3,"Current",IF(F1874&lt;=30,"0-30",IF(F1874&lt;=60,"31-60",IF(F1874&lt;=90,"61-90","90+"))))</f>
        <v/>
      </c>
    </row>
    <row r="1875">
      <c r="A1875" t="inlineStr">
        <is>
          <t>0009029125</t>
        </is>
      </c>
      <c r="B1875" t="inlineStr">
        <is>
          <t>0000100442</t>
        </is>
      </c>
      <c r="C1875" s="3" t="n">
        <v>46003</v>
      </c>
      <c r="D1875" s="3" t="n">
        <v>46048</v>
      </c>
      <c r="E1875" s="4" t="n">
        <v>945.49</v>
      </c>
      <c r="F1875">
        <f>Summary!$B$3-D1875</f>
        <v/>
      </c>
      <c r="G1875">
        <f>IF(D1875&gt;Summary!$B$3,"Current",IF(F1875&lt;=30,"0-30",IF(F1875&lt;=60,"31-60",IF(F1875&lt;=90,"61-90","90+"))))</f>
        <v/>
      </c>
    </row>
    <row r="1876">
      <c r="A1876" t="inlineStr">
        <is>
          <t>0009029126</t>
        </is>
      </c>
      <c r="B1876" t="inlineStr">
        <is>
          <t>0000100437</t>
        </is>
      </c>
      <c r="C1876" s="3" t="n">
        <v>46002</v>
      </c>
      <c r="D1876" s="3" t="n">
        <v>46032</v>
      </c>
      <c r="E1876" s="4" t="n">
        <v>204.24</v>
      </c>
      <c r="F1876">
        <f>Summary!$B$3-D1876</f>
        <v/>
      </c>
      <c r="G1876">
        <f>IF(D1876&gt;Summary!$B$3,"Current",IF(F1876&lt;=30,"0-30",IF(F1876&lt;=60,"31-60",IF(F1876&lt;=90,"61-90","90+"))))</f>
        <v/>
      </c>
    </row>
    <row r="1877">
      <c r="A1877" t="inlineStr">
        <is>
          <t>0009029127</t>
        </is>
      </c>
      <c r="B1877" t="inlineStr">
        <is>
          <t>0000100507</t>
        </is>
      </c>
      <c r="C1877" s="3" t="n">
        <v>46005</v>
      </c>
      <c r="D1877" s="3" t="n">
        <v>46035</v>
      </c>
      <c r="E1877" s="4" t="n">
        <v>552.6</v>
      </c>
      <c r="F1877">
        <f>Summary!$B$3-D1877</f>
        <v/>
      </c>
      <c r="G1877">
        <f>IF(D1877&gt;Summary!$B$3,"Current",IF(F1877&lt;=30,"0-30",IF(F1877&lt;=60,"31-60",IF(F1877&lt;=90,"61-90","90+"))))</f>
        <v/>
      </c>
    </row>
    <row r="1878">
      <c r="A1878" t="inlineStr">
        <is>
          <t>0009029128</t>
        </is>
      </c>
      <c r="B1878" t="inlineStr">
        <is>
          <t>0000100258</t>
        </is>
      </c>
      <c r="C1878" s="3" t="n">
        <v>46006</v>
      </c>
      <c r="D1878" s="3" t="n">
        <v>46036</v>
      </c>
      <c r="E1878" s="4" t="n">
        <v>785.96</v>
      </c>
      <c r="F1878">
        <f>Summary!$B$3-D1878</f>
        <v/>
      </c>
      <c r="G1878">
        <f>IF(D1878&gt;Summary!$B$3,"Current",IF(F1878&lt;=30,"0-30",IF(F1878&lt;=60,"31-60",IF(F1878&lt;=90,"61-90","90+"))))</f>
        <v/>
      </c>
    </row>
    <row r="1879">
      <c r="A1879" t="inlineStr">
        <is>
          <t>0009029129</t>
        </is>
      </c>
      <c r="B1879" t="inlineStr">
        <is>
          <t>0000100201</t>
        </is>
      </c>
      <c r="C1879" s="3" t="n">
        <v>45999</v>
      </c>
      <c r="D1879" s="3" t="n">
        <v>46029</v>
      </c>
      <c r="E1879" s="4" t="n">
        <v>584.39</v>
      </c>
      <c r="F1879">
        <f>Summary!$B$3-D1879</f>
        <v/>
      </c>
      <c r="G1879">
        <f>IF(D1879&gt;Summary!$B$3,"Current",IF(F1879&lt;=30,"0-30",IF(F1879&lt;=60,"31-60",IF(F1879&lt;=90,"61-90","90+"))))</f>
        <v/>
      </c>
    </row>
    <row r="1880">
      <c r="A1880" t="inlineStr">
        <is>
          <t>0009029130</t>
        </is>
      </c>
      <c r="B1880" t="inlineStr">
        <is>
          <t>0000100164</t>
        </is>
      </c>
      <c r="C1880" s="3" t="n">
        <v>46001</v>
      </c>
      <c r="D1880" s="3" t="n">
        <v>46061</v>
      </c>
      <c r="E1880" s="4" t="n">
        <v>592.76</v>
      </c>
      <c r="F1880">
        <f>Summary!$B$3-D1880</f>
        <v/>
      </c>
      <c r="G1880">
        <f>IF(D1880&gt;Summary!$B$3,"Current",IF(F1880&lt;=30,"0-30",IF(F1880&lt;=60,"31-60",IF(F1880&lt;=90,"61-90","90+"))))</f>
        <v/>
      </c>
    </row>
    <row r="1881">
      <c r="A1881" t="inlineStr">
        <is>
          <t>0009029131</t>
        </is>
      </c>
      <c r="B1881" t="inlineStr">
        <is>
          <t>0000100453</t>
        </is>
      </c>
      <c r="C1881" s="3" t="n">
        <v>46005</v>
      </c>
      <c r="D1881" s="3" t="n">
        <v>46035</v>
      </c>
      <c r="E1881" s="4" t="n">
        <v>313.2</v>
      </c>
      <c r="F1881">
        <f>Summary!$B$3-D1881</f>
        <v/>
      </c>
      <c r="G1881">
        <f>IF(D1881&gt;Summary!$B$3,"Current",IF(F1881&lt;=30,"0-30",IF(F1881&lt;=60,"31-60",IF(F1881&lt;=90,"61-90","90+"))))</f>
        <v/>
      </c>
    </row>
    <row r="1882">
      <c r="A1882" t="inlineStr">
        <is>
          <t>0009029132</t>
        </is>
      </c>
      <c r="B1882" t="inlineStr">
        <is>
          <t>0000100434</t>
        </is>
      </c>
      <c r="C1882" s="3" t="n">
        <v>46008</v>
      </c>
      <c r="D1882" s="3" t="n">
        <v>46038</v>
      </c>
      <c r="E1882" s="4" t="n">
        <v>61.64</v>
      </c>
      <c r="F1882">
        <f>Summary!$B$3-D1882</f>
        <v/>
      </c>
      <c r="G1882">
        <f>IF(D1882&gt;Summary!$B$3,"Current",IF(F1882&lt;=30,"0-30",IF(F1882&lt;=60,"31-60",IF(F1882&lt;=90,"61-90","90+"))))</f>
        <v/>
      </c>
    </row>
    <row r="1883">
      <c r="A1883" t="inlineStr">
        <is>
          <t>0009029133</t>
        </is>
      </c>
      <c r="B1883" t="inlineStr">
        <is>
          <t>0000100598</t>
        </is>
      </c>
      <c r="C1883" s="3" t="n">
        <v>46003</v>
      </c>
      <c r="D1883" s="3" t="n">
        <v>46033</v>
      </c>
      <c r="E1883" s="4" t="n">
        <v>202.26</v>
      </c>
      <c r="F1883">
        <f>Summary!$B$3-D1883</f>
        <v/>
      </c>
      <c r="G1883">
        <f>IF(D1883&gt;Summary!$B$3,"Current",IF(F1883&lt;=30,"0-30",IF(F1883&lt;=60,"31-60",IF(F1883&lt;=90,"61-90","90+"))))</f>
        <v/>
      </c>
    </row>
    <row r="1884">
      <c r="A1884" t="inlineStr">
        <is>
          <t>0009029134</t>
        </is>
      </c>
      <c r="B1884" t="inlineStr">
        <is>
          <t>0000100260</t>
        </is>
      </c>
      <c r="C1884" s="3" t="n">
        <v>46003</v>
      </c>
      <c r="D1884" s="3" t="n">
        <v>46048</v>
      </c>
      <c r="E1884" s="4" t="n">
        <v>373.28</v>
      </c>
      <c r="F1884">
        <f>Summary!$B$3-D1884</f>
        <v/>
      </c>
      <c r="G1884">
        <f>IF(D1884&gt;Summary!$B$3,"Current",IF(F1884&lt;=30,"0-30",IF(F1884&lt;=60,"31-60",IF(F1884&lt;=90,"61-90","90+"))))</f>
        <v/>
      </c>
    </row>
    <row r="1885">
      <c r="A1885" t="inlineStr">
        <is>
          <t>0009029135</t>
        </is>
      </c>
      <c r="B1885" t="inlineStr">
        <is>
          <t>0000100052</t>
        </is>
      </c>
      <c r="C1885" s="3" t="n">
        <v>46002</v>
      </c>
      <c r="D1885" s="3" t="n">
        <v>46047</v>
      </c>
      <c r="E1885" s="4" t="n">
        <v>3060.89</v>
      </c>
      <c r="F1885">
        <f>Summary!$B$3-D1885</f>
        <v/>
      </c>
      <c r="G1885">
        <f>IF(D1885&gt;Summary!$B$3,"Current",IF(F1885&lt;=30,"0-30",IF(F1885&lt;=60,"31-60",IF(F1885&lt;=90,"61-90","90+"))))</f>
        <v/>
      </c>
    </row>
    <row r="1886">
      <c r="A1886" t="inlineStr">
        <is>
          <t>0009029136</t>
        </is>
      </c>
      <c r="B1886" t="inlineStr">
        <is>
          <t>0000100593</t>
        </is>
      </c>
      <c r="C1886" s="3" t="n">
        <v>46005</v>
      </c>
      <c r="D1886" s="3" t="n">
        <v>46065</v>
      </c>
      <c r="E1886" s="4" t="n">
        <v>573.96</v>
      </c>
      <c r="F1886">
        <f>Summary!$B$3-D1886</f>
        <v/>
      </c>
      <c r="G1886">
        <f>IF(D1886&gt;Summary!$B$3,"Current",IF(F1886&lt;=30,"0-30",IF(F1886&lt;=60,"31-60",IF(F1886&lt;=90,"61-90","90+"))))</f>
        <v/>
      </c>
    </row>
    <row r="1887">
      <c r="A1887" t="inlineStr">
        <is>
          <t>0009029137</t>
        </is>
      </c>
      <c r="B1887" t="inlineStr">
        <is>
          <t>0000100543</t>
        </is>
      </c>
      <c r="C1887" s="3" t="n">
        <v>46004</v>
      </c>
      <c r="D1887" s="3" t="n">
        <v>46064</v>
      </c>
      <c r="E1887" s="4" t="n">
        <v>78.77</v>
      </c>
      <c r="F1887">
        <f>Summary!$B$3-D1887</f>
        <v/>
      </c>
      <c r="G1887">
        <f>IF(D1887&gt;Summary!$B$3,"Current",IF(F1887&lt;=30,"0-30",IF(F1887&lt;=60,"31-60",IF(F1887&lt;=90,"61-90","90+"))))</f>
        <v/>
      </c>
    </row>
    <row r="1888">
      <c r="A1888" t="inlineStr">
        <is>
          <t>0009029138</t>
        </is>
      </c>
      <c r="B1888" t="inlineStr">
        <is>
          <t>0000100185</t>
        </is>
      </c>
      <c r="C1888" s="3" t="n">
        <v>45998</v>
      </c>
      <c r="D1888" s="3" t="n">
        <v>46028</v>
      </c>
      <c r="E1888" s="4" t="n">
        <v>2137.33</v>
      </c>
      <c r="F1888">
        <f>Summary!$B$3-D1888</f>
        <v/>
      </c>
      <c r="G1888">
        <f>IF(D1888&gt;Summary!$B$3,"Current",IF(F1888&lt;=30,"0-30",IF(F1888&lt;=60,"31-60",IF(F1888&lt;=90,"61-90","90+"))))</f>
        <v/>
      </c>
    </row>
    <row r="1889">
      <c r="A1889" t="inlineStr">
        <is>
          <t>0009029139</t>
        </is>
      </c>
      <c r="B1889" t="inlineStr">
        <is>
          <t>0000100028</t>
        </is>
      </c>
      <c r="C1889" s="3" t="n">
        <v>46001</v>
      </c>
      <c r="D1889" s="3" t="n">
        <v>46046</v>
      </c>
      <c r="E1889" s="4" t="n">
        <v>682.3099999999999</v>
      </c>
      <c r="F1889">
        <f>Summary!$B$3-D1889</f>
        <v/>
      </c>
      <c r="G1889">
        <f>IF(D1889&gt;Summary!$B$3,"Current",IF(F1889&lt;=30,"0-30",IF(F1889&lt;=60,"31-60",IF(F1889&lt;=90,"61-90","90+"))))</f>
        <v/>
      </c>
    </row>
    <row r="1890">
      <c r="A1890" t="inlineStr">
        <is>
          <t>0009029140</t>
        </is>
      </c>
      <c r="B1890" t="inlineStr">
        <is>
          <t>0000100550</t>
        </is>
      </c>
      <c r="C1890" s="3" t="n">
        <v>46008</v>
      </c>
      <c r="D1890" s="3" t="n">
        <v>46038</v>
      </c>
      <c r="E1890" s="4" t="n">
        <v>1209.6</v>
      </c>
      <c r="F1890">
        <f>Summary!$B$3-D1890</f>
        <v/>
      </c>
      <c r="G1890">
        <f>IF(D1890&gt;Summary!$B$3,"Current",IF(F1890&lt;=30,"0-30",IF(F1890&lt;=60,"31-60",IF(F1890&lt;=90,"61-90","90+"))))</f>
        <v/>
      </c>
    </row>
    <row r="1891">
      <c r="A1891" t="inlineStr">
        <is>
          <t>0009029141</t>
        </is>
      </c>
      <c r="B1891" t="inlineStr">
        <is>
          <t>0000100297</t>
        </is>
      </c>
      <c r="C1891" s="3" t="n">
        <v>46001</v>
      </c>
      <c r="D1891" s="3" t="n">
        <v>46031</v>
      </c>
      <c r="E1891" s="4" t="n">
        <v>1206.66</v>
      </c>
      <c r="F1891">
        <f>Summary!$B$3-D1891</f>
        <v/>
      </c>
      <c r="G1891">
        <f>IF(D1891&gt;Summary!$B$3,"Current",IF(F1891&lt;=30,"0-30",IF(F1891&lt;=60,"31-60",IF(F1891&lt;=90,"61-90","90+"))))</f>
        <v/>
      </c>
    </row>
    <row r="1892">
      <c r="A1892" t="inlineStr">
        <is>
          <t>0009029142</t>
        </is>
      </c>
      <c r="B1892" t="inlineStr">
        <is>
          <t>0000100304</t>
        </is>
      </c>
      <c r="C1892" s="3" t="n">
        <v>46003</v>
      </c>
      <c r="D1892" s="3" t="n">
        <v>46063</v>
      </c>
      <c r="E1892" s="4" t="n">
        <v>449.23</v>
      </c>
      <c r="F1892">
        <f>Summary!$B$3-D1892</f>
        <v/>
      </c>
      <c r="G1892">
        <f>IF(D1892&gt;Summary!$B$3,"Current",IF(F1892&lt;=30,"0-30",IF(F1892&lt;=60,"31-60",IF(F1892&lt;=90,"61-90","90+"))))</f>
        <v/>
      </c>
    </row>
    <row r="1893">
      <c r="A1893" t="inlineStr">
        <is>
          <t>0009029143</t>
        </is>
      </c>
      <c r="B1893" t="inlineStr">
        <is>
          <t>0000100166</t>
        </is>
      </c>
      <c r="C1893" s="3" t="n">
        <v>46003</v>
      </c>
      <c r="D1893" s="3" t="n">
        <v>46033</v>
      </c>
      <c r="E1893" s="4" t="n">
        <v>419.97</v>
      </c>
      <c r="F1893">
        <f>Summary!$B$3-D1893</f>
        <v/>
      </c>
      <c r="G1893">
        <f>IF(D1893&gt;Summary!$B$3,"Current",IF(F1893&lt;=30,"0-30",IF(F1893&lt;=60,"31-60",IF(F1893&lt;=90,"61-90","90+"))))</f>
        <v/>
      </c>
    </row>
    <row r="1894">
      <c r="A1894" t="inlineStr">
        <is>
          <t>0009029144</t>
        </is>
      </c>
      <c r="B1894" t="inlineStr">
        <is>
          <t>0000100064</t>
        </is>
      </c>
      <c r="C1894" s="3" t="n">
        <v>46006</v>
      </c>
      <c r="D1894" s="3" t="n">
        <v>46036</v>
      </c>
      <c r="E1894" s="4" t="n">
        <v>2063.51</v>
      </c>
      <c r="F1894">
        <f>Summary!$B$3-D1894</f>
        <v/>
      </c>
      <c r="G1894">
        <f>IF(D1894&gt;Summary!$B$3,"Current",IF(F1894&lt;=30,"0-30",IF(F1894&lt;=60,"31-60",IF(F1894&lt;=90,"61-90","90+"))))</f>
        <v/>
      </c>
    </row>
    <row r="1895">
      <c r="A1895" t="inlineStr">
        <is>
          <t>0009029145</t>
        </is>
      </c>
      <c r="B1895" t="inlineStr">
        <is>
          <t>0000100441</t>
        </is>
      </c>
      <c r="C1895" s="3" t="n">
        <v>45999</v>
      </c>
      <c r="D1895" s="3" t="n">
        <v>46044</v>
      </c>
      <c r="E1895" s="4" t="n">
        <v>351.51</v>
      </c>
      <c r="F1895">
        <f>Summary!$B$3-D1895</f>
        <v/>
      </c>
      <c r="G1895">
        <f>IF(D1895&gt;Summary!$B$3,"Current",IF(F1895&lt;=30,"0-30",IF(F1895&lt;=60,"31-60",IF(F1895&lt;=90,"61-90","90+"))))</f>
        <v/>
      </c>
    </row>
    <row r="1896">
      <c r="A1896" t="inlineStr">
        <is>
          <t>0009029146</t>
        </is>
      </c>
      <c r="B1896" t="inlineStr">
        <is>
          <t>0000100111</t>
        </is>
      </c>
      <c r="C1896" s="3" t="n">
        <v>46000</v>
      </c>
      <c r="D1896" s="3" t="n">
        <v>46045</v>
      </c>
      <c r="E1896" s="4" t="n">
        <v>154.9</v>
      </c>
      <c r="F1896">
        <f>Summary!$B$3-D1896</f>
        <v/>
      </c>
      <c r="G1896">
        <f>IF(D1896&gt;Summary!$B$3,"Current",IF(F1896&lt;=30,"0-30",IF(F1896&lt;=60,"31-60",IF(F1896&lt;=90,"61-90","90+"))))</f>
        <v/>
      </c>
    </row>
    <row r="1897">
      <c r="A1897" t="inlineStr">
        <is>
          <t>0009029147</t>
        </is>
      </c>
      <c r="B1897" t="inlineStr">
        <is>
          <t>0000100201</t>
        </is>
      </c>
      <c r="C1897" s="3" t="n">
        <v>45999</v>
      </c>
      <c r="D1897" s="3" t="n">
        <v>46029</v>
      </c>
      <c r="E1897" s="4" t="n">
        <v>1633.6</v>
      </c>
      <c r="F1897">
        <f>Summary!$B$3-D1897</f>
        <v/>
      </c>
      <c r="G1897">
        <f>IF(D1897&gt;Summary!$B$3,"Current",IF(F1897&lt;=30,"0-30",IF(F1897&lt;=60,"31-60",IF(F1897&lt;=90,"61-90","90+"))))</f>
        <v/>
      </c>
    </row>
    <row r="1898">
      <c r="A1898" t="inlineStr">
        <is>
          <t>0009029148</t>
        </is>
      </c>
      <c r="B1898" t="inlineStr">
        <is>
          <t>0000100102</t>
        </is>
      </c>
      <c r="C1898" s="3" t="n">
        <v>46002</v>
      </c>
      <c r="D1898" s="3" t="n">
        <v>46032</v>
      </c>
      <c r="E1898" s="4" t="n">
        <v>1210</v>
      </c>
      <c r="F1898">
        <f>Summary!$B$3-D1898</f>
        <v/>
      </c>
      <c r="G1898">
        <f>IF(D1898&gt;Summary!$B$3,"Current",IF(F1898&lt;=30,"0-30",IF(F1898&lt;=60,"31-60",IF(F1898&lt;=90,"61-90","90+"))))</f>
        <v/>
      </c>
    </row>
    <row r="1899">
      <c r="A1899" t="inlineStr">
        <is>
          <t>0009029149</t>
        </is>
      </c>
      <c r="B1899" t="inlineStr">
        <is>
          <t>0000100569</t>
        </is>
      </c>
      <c r="C1899" s="3" t="n">
        <v>46005</v>
      </c>
      <c r="D1899" s="3" t="n">
        <v>46035</v>
      </c>
      <c r="E1899" s="4" t="n">
        <v>17.33</v>
      </c>
      <c r="F1899">
        <f>Summary!$B$3-D1899</f>
        <v/>
      </c>
      <c r="G1899">
        <f>IF(D1899&gt;Summary!$B$3,"Current",IF(F1899&lt;=30,"0-30",IF(F1899&lt;=60,"31-60",IF(F1899&lt;=90,"61-90","90+"))))</f>
        <v/>
      </c>
    </row>
    <row r="1900">
      <c r="A1900" t="inlineStr">
        <is>
          <t>0009029150</t>
        </is>
      </c>
      <c r="B1900" t="inlineStr">
        <is>
          <t>0000100267</t>
        </is>
      </c>
      <c r="C1900" s="3" t="n">
        <v>46004</v>
      </c>
      <c r="D1900" s="3" t="n">
        <v>46049</v>
      </c>
      <c r="E1900" s="4" t="n">
        <v>155.24</v>
      </c>
      <c r="F1900">
        <f>Summary!$B$3-D1900</f>
        <v/>
      </c>
      <c r="G1900">
        <f>IF(D1900&gt;Summary!$B$3,"Current",IF(F1900&lt;=30,"0-30",IF(F1900&lt;=60,"31-60",IF(F1900&lt;=90,"61-90","90+"))))</f>
        <v/>
      </c>
    </row>
    <row r="1901">
      <c r="A1901" t="inlineStr">
        <is>
          <t>0009029151</t>
        </is>
      </c>
      <c r="B1901" t="inlineStr">
        <is>
          <t>0000100170</t>
        </is>
      </c>
      <c r="C1901" s="3" t="n">
        <v>46005</v>
      </c>
      <c r="D1901" s="3" t="n">
        <v>46035</v>
      </c>
      <c r="E1901" s="4" t="n">
        <v>432.92</v>
      </c>
      <c r="F1901">
        <f>Summary!$B$3-D1901</f>
        <v/>
      </c>
      <c r="G1901">
        <f>IF(D1901&gt;Summary!$B$3,"Current",IF(F1901&lt;=30,"0-30",IF(F1901&lt;=60,"31-60",IF(F1901&lt;=90,"61-90","90+"))))</f>
        <v/>
      </c>
    </row>
    <row r="1902">
      <c r="A1902" t="inlineStr">
        <is>
          <t>0009029152</t>
        </is>
      </c>
      <c r="B1902" t="inlineStr">
        <is>
          <t>0000100564</t>
        </is>
      </c>
      <c r="C1902" s="3" t="n">
        <v>46006</v>
      </c>
      <c r="D1902" s="3" t="n">
        <v>46036</v>
      </c>
      <c r="E1902" s="4" t="n">
        <v>663.15</v>
      </c>
      <c r="F1902">
        <f>Summary!$B$3-D1902</f>
        <v/>
      </c>
      <c r="G1902">
        <f>IF(D1902&gt;Summary!$B$3,"Current",IF(F1902&lt;=30,"0-30",IF(F1902&lt;=60,"31-60",IF(F1902&lt;=90,"61-90","90+"))))</f>
        <v/>
      </c>
    </row>
    <row r="1903">
      <c r="A1903" t="inlineStr">
        <is>
          <t>0009029153</t>
        </is>
      </c>
      <c r="B1903" t="inlineStr">
        <is>
          <t>0000100307</t>
        </is>
      </c>
      <c r="C1903" s="3" t="n">
        <v>46006</v>
      </c>
      <c r="D1903" s="3" t="n">
        <v>46036</v>
      </c>
      <c r="E1903" s="4" t="n">
        <v>1255.18</v>
      </c>
      <c r="F1903">
        <f>Summary!$B$3-D1903</f>
        <v/>
      </c>
      <c r="G1903">
        <f>IF(D1903&gt;Summary!$B$3,"Current",IF(F1903&lt;=30,"0-30",IF(F1903&lt;=60,"31-60",IF(F1903&lt;=90,"61-90","90+"))))</f>
        <v/>
      </c>
    </row>
    <row r="1904">
      <c r="A1904" t="inlineStr">
        <is>
          <t>0009029154</t>
        </is>
      </c>
      <c r="B1904" t="inlineStr">
        <is>
          <t>0000100475</t>
        </is>
      </c>
      <c r="C1904" s="3" t="n">
        <v>45999</v>
      </c>
      <c r="D1904" s="3" t="n">
        <v>46029</v>
      </c>
      <c r="E1904" s="4" t="n">
        <v>1398.25</v>
      </c>
      <c r="F1904">
        <f>Summary!$B$3-D1904</f>
        <v/>
      </c>
      <c r="G1904">
        <f>IF(D1904&gt;Summary!$B$3,"Current",IF(F1904&lt;=30,"0-30",IF(F1904&lt;=60,"31-60",IF(F1904&lt;=90,"61-90","90+"))))</f>
        <v/>
      </c>
    </row>
    <row r="1905">
      <c r="A1905" t="inlineStr">
        <is>
          <t>0009029155</t>
        </is>
      </c>
      <c r="B1905" t="inlineStr">
        <is>
          <t>0000100004</t>
        </is>
      </c>
      <c r="C1905" s="3" t="n">
        <v>46007</v>
      </c>
      <c r="D1905" s="3" t="n">
        <v>46067</v>
      </c>
      <c r="E1905" s="4" t="n">
        <v>3211.9</v>
      </c>
      <c r="F1905">
        <f>Summary!$B$3-D1905</f>
        <v/>
      </c>
      <c r="G1905">
        <f>IF(D1905&gt;Summary!$B$3,"Current",IF(F1905&lt;=30,"0-30",IF(F1905&lt;=60,"31-60",IF(F1905&lt;=90,"61-90","90+"))))</f>
        <v/>
      </c>
    </row>
    <row r="1906">
      <c r="A1906" t="inlineStr">
        <is>
          <t>0009029156</t>
        </is>
      </c>
      <c r="B1906" t="inlineStr">
        <is>
          <t>0000100587</t>
        </is>
      </c>
      <c r="C1906" s="3" t="n">
        <v>46001</v>
      </c>
      <c r="D1906" s="3" t="n">
        <v>46061</v>
      </c>
      <c r="E1906" s="4" t="n">
        <v>374.59</v>
      </c>
      <c r="F1906">
        <f>Summary!$B$3-D1906</f>
        <v/>
      </c>
      <c r="G1906">
        <f>IF(D1906&gt;Summary!$B$3,"Current",IF(F1906&lt;=30,"0-30",IF(F1906&lt;=60,"31-60",IF(F1906&lt;=90,"61-90","90+"))))</f>
        <v/>
      </c>
    </row>
    <row r="1907">
      <c r="A1907" t="inlineStr">
        <is>
          <t>0009029157</t>
        </is>
      </c>
      <c r="B1907" t="inlineStr">
        <is>
          <t>0000100290</t>
        </is>
      </c>
      <c r="C1907" s="3" t="n">
        <v>46004</v>
      </c>
      <c r="D1907" s="3" t="n">
        <v>46034</v>
      </c>
      <c r="E1907" s="4" t="n">
        <v>158.85</v>
      </c>
      <c r="F1907">
        <f>Summary!$B$3-D1907</f>
        <v/>
      </c>
      <c r="G1907">
        <f>IF(D1907&gt;Summary!$B$3,"Current",IF(F1907&lt;=30,"0-30",IF(F1907&lt;=60,"31-60",IF(F1907&lt;=90,"61-90","90+"))))</f>
        <v/>
      </c>
    </row>
    <row r="1908">
      <c r="A1908" t="inlineStr">
        <is>
          <t>0009029158</t>
        </is>
      </c>
      <c r="B1908" t="inlineStr">
        <is>
          <t>0000100141</t>
        </is>
      </c>
      <c r="C1908" s="3" t="n">
        <v>46007</v>
      </c>
      <c r="D1908" s="3" t="n">
        <v>46037</v>
      </c>
      <c r="E1908" s="4" t="n">
        <v>62.78</v>
      </c>
      <c r="F1908">
        <f>Summary!$B$3-D1908</f>
        <v/>
      </c>
      <c r="G1908">
        <f>IF(D1908&gt;Summary!$B$3,"Current",IF(F1908&lt;=30,"0-30",IF(F1908&lt;=60,"31-60",IF(F1908&lt;=90,"61-90","90+"))))</f>
        <v/>
      </c>
    </row>
    <row r="1909">
      <c r="A1909" t="inlineStr">
        <is>
          <t>0009029159</t>
        </is>
      </c>
      <c r="B1909" t="inlineStr">
        <is>
          <t>0000100122</t>
        </is>
      </c>
      <c r="C1909" s="3" t="n">
        <v>46003</v>
      </c>
      <c r="D1909" s="3" t="n">
        <v>46033</v>
      </c>
      <c r="E1909" s="4" t="n">
        <v>46.5</v>
      </c>
      <c r="F1909">
        <f>Summary!$B$3-D1909</f>
        <v/>
      </c>
      <c r="G1909">
        <f>IF(D1909&gt;Summary!$B$3,"Current",IF(F1909&lt;=30,"0-30",IF(F1909&lt;=60,"31-60",IF(F1909&lt;=90,"61-90","90+"))))</f>
        <v/>
      </c>
    </row>
    <row r="1910">
      <c r="A1910" t="inlineStr">
        <is>
          <t>0009029160</t>
        </is>
      </c>
      <c r="B1910" t="inlineStr">
        <is>
          <t>0000100521</t>
        </is>
      </c>
      <c r="C1910" s="3" t="n">
        <v>46005</v>
      </c>
      <c r="D1910" s="3" t="n">
        <v>46035</v>
      </c>
      <c r="E1910" s="4" t="n">
        <v>2914.21</v>
      </c>
      <c r="F1910">
        <f>Summary!$B$3-D1910</f>
        <v/>
      </c>
      <c r="G1910">
        <f>IF(D1910&gt;Summary!$B$3,"Current",IF(F1910&lt;=30,"0-30",IF(F1910&lt;=60,"31-60",IF(F1910&lt;=90,"61-90","90+"))))</f>
        <v/>
      </c>
    </row>
    <row r="1911">
      <c r="A1911" t="inlineStr">
        <is>
          <t>0009029161</t>
        </is>
      </c>
      <c r="B1911" t="inlineStr">
        <is>
          <t>0000100348</t>
        </is>
      </c>
      <c r="C1911" s="3" t="n">
        <v>46009</v>
      </c>
      <c r="D1911" s="3" t="n">
        <v>46069</v>
      </c>
      <c r="E1911" s="4" t="n">
        <v>101.79</v>
      </c>
      <c r="F1911">
        <f>Summary!$B$3-D1911</f>
        <v/>
      </c>
      <c r="G1911">
        <f>IF(D1911&gt;Summary!$B$3,"Current",IF(F1911&lt;=30,"0-30",IF(F1911&lt;=60,"31-60",IF(F1911&lt;=90,"61-90","90+"))))</f>
        <v/>
      </c>
    </row>
    <row r="1912">
      <c r="A1912" t="inlineStr">
        <is>
          <t>0009029162</t>
        </is>
      </c>
      <c r="B1912" t="inlineStr">
        <is>
          <t>0000100453</t>
        </is>
      </c>
      <c r="C1912" s="3" t="n">
        <v>46000</v>
      </c>
      <c r="D1912" s="3" t="n">
        <v>46030</v>
      </c>
      <c r="E1912" s="4" t="n">
        <v>2301.49</v>
      </c>
      <c r="F1912">
        <f>Summary!$B$3-D1912</f>
        <v/>
      </c>
      <c r="G1912">
        <f>IF(D1912&gt;Summary!$B$3,"Current",IF(F1912&lt;=30,"0-30",IF(F1912&lt;=60,"31-60",IF(F1912&lt;=90,"61-90","90+"))))</f>
        <v/>
      </c>
    </row>
    <row r="1913">
      <c r="A1913" t="inlineStr">
        <is>
          <t>0009029163</t>
        </is>
      </c>
      <c r="B1913" t="inlineStr">
        <is>
          <t>0000100051</t>
        </is>
      </c>
      <c r="C1913" s="3" t="n">
        <v>46001</v>
      </c>
      <c r="D1913" s="3" t="n">
        <v>46061</v>
      </c>
      <c r="E1913" s="4" t="n">
        <v>405.45</v>
      </c>
      <c r="F1913">
        <f>Summary!$B$3-D1913</f>
        <v/>
      </c>
      <c r="G1913">
        <f>IF(D1913&gt;Summary!$B$3,"Current",IF(F1913&lt;=30,"0-30",IF(F1913&lt;=60,"31-60",IF(F1913&lt;=90,"61-90","90+"))))</f>
        <v/>
      </c>
    </row>
    <row r="1914">
      <c r="A1914" t="inlineStr">
        <is>
          <t>0009029164</t>
        </is>
      </c>
      <c r="B1914" t="inlineStr">
        <is>
          <t>0000100468</t>
        </is>
      </c>
      <c r="C1914" s="3" t="n">
        <v>46003</v>
      </c>
      <c r="D1914" s="3" t="n">
        <v>46033</v>
      </c>
      <c r="E1914" s="4" t="n">
        <v>191.56</v>
      </c>
      <c r="F1914">
        <f>Summary!$B$3-D1914</f>
        <v/>
      </c>
      <c r="G1914">
        <f>IF(D1914&gt;Summary!$B$3,"Current",IF(F1914&lt;=30,"0-30",IF(F1914&lt;=60,"31-60",IF(F1914&lt;=90,"61-90","90+"))))</f>
        <v/>
      </c>
    </row>
    <row r="1915">
      <c r="A1915" t="inlineStr">
        <is>
          <t>0009029165</t>
        </is>
      </c>
      <c r="B1915" t="inlineStr">
        <is>
          <t>0000100001</t>
        </is>
      </c>
      <c r="C1915" s="3" t="n">
        <v>46004</v>
      </c>
      <c r="D1915" s="3" t="n">
        <v>46049</v>
      </c>
      <c r="E1915" s="4" t="n">
        <v>825.13</v>
      </c>
      <c r="F1915">
        <f>Summary!$B$3-D1915</f>
        <v/>
      </c>
      <c r="G1915">
        <f>IF(D1915&gt;Summary!$B$3,"Current",IF(F1915&lt;=30,"0-30",IF(F1915&lt;=60,"31-60",IF(F1915&lt;=90,"61-90","90+"))))</f>
        <v/>
      </c>
    </row>
    <row r="1916">
      <c r="A1916" t="inlineStr">
        <is>
          <t>0009029166</t>
        </is>
      </c>
      <c r="B1916" t="inlineStr">
        <is>
          <t>0000100552</t>
        </is>
      </c>
      <c r="C1916" s="3" t="n">
        <v>46001</v>
      </c>
      <c r="D1916" s="3" t="n">
        <v>46031</v>
      </c>
      <c r="E1916" s="4" t="n">
        <v>355.14</v>
      </c>
      <c r="F1916">
        <f>Summary!$B$3-D1916</f>
        <v/>
      </c>
      <c r="G1916">
        <f>IF(D1916&gt;Summary!$B$3,"Current",IF(F1916&lt;=30,"0-30",IF(F1916&lt;=60,"31-60",IF(F1916&lt;=90,"61-90","90+"))))</f>
        <v/>
      </c>
    </row>
    <row r="1917">
      <c r="A1917" t="inlineStr">
        <is>
          <t>0009029167</t>
        </is>
      </c>
      <c r="B1917" t="inlineStr">
        <is>
          <t>0000100202</t>
        </is>
      </c>
      <c r="C1917" s="3" t="n">
        <v>46001</v>
      </c>
      <c r="D1917" s="3" t="n">
        <v>46061</v>
      </c>
      <c r="E1917" s="4" t="n">
        <v>552.1799999999999</v>
      </c>
      <c r="F1917">
        <f>Summary!$B$3-D1917</f>
        <v/>
      </c>
      <c r="G1917">
        <f>IF(D1917&gt;Summary!$B$3,"Current",IF(F1917&lt;=30,"0-30",IF(F1917&lt;=60,"31-60",IF(F1917&lt;=90,"61-90","90+"))))</f>
        <v/>
      </c>
    </row>
    <row r="1918">
      <c r="A1918" t="inlineStr">
        <is>
          <t>0009029168</t>
        </is>
      </c>
      <c r="B1918" t="inlineStr">
        <is>
          <t>0000100169</t>
        </is>
      </c>
      <c r="C1918" s="3" t="n">
        <v>45998</v>
      </c>
      <c r="D1918" s="3" t="n">
        <v>46043</v>
      </c>
      <c r="E1918" s="4" t="n">
        <v>928.91</v>
      </c>
      <c r="F1918">
        <f>Summary!$B$3-D1918</f>
        <v/>
      </c>
      <c r="G1918">
        <f>IF(D1918&gt;Summary!$B$3,"Current",IF(F1918&lt;=30,"0-30",IF(F1918&lt;=60,"31-60",IF(F1918&lt;=90,"61-90","90+"))))</f>
        <v/>
      </c>
    </row>
    <row r="1919">
      <c r="A1919" t="inlineStr">
        <is>
          <t>0009029169</t>
        </is>
      </c>
      <c r="B1919" t="inlineStr">
        <is>
          <t>0000100393</t>
        </is>
      </c>
      <c r="C1919" s="3" t="n">
        <v>46007</v>
      </c>
      <c r="D1919" s="3" t="n">
        <v>46037</v>
      </c>
      <c r="E1919" s="4" t="n">
        <v>644.76</v>
      </c>
      <c r="F1919">
        <f>Summary!$B$3-D1919</f>
        <v/>
      </c>
      <c r="G1919">
        <f>IF(D1919&gt;Summary!$B$3,"Current",IF(F1919&lt;=30,"0-30",IF(F1919&lt;=60,"31-60",IF(F1919&lt;=90,"61-90","90+"))))</f>
        <v/>
      </c>
    </row>
    <row r="1920">
      <c r="A1920" t="inlineStr">
        <is>
          <t>0009029170</t>
        </is>
      </c>
      <c r="B1920" t="inlineStr">
        <is>
          <t>0000100228</t>
        </is>
      </c>
      <c r="C1920" s="3" t="n">
        <v>46002</v>
      </c>
      <c r="D1920" s="3" t="n">
        <v>46062</v>
      </c>
      <c r="E1920" s="4" t="n">
        <v>1657.29</v>
      </c>
      <c r="F1920">
        <f>Summary!$B$3-D1920</f>
        <v/>
      </c>
      <c r="G1920">
        <f>IF(D1920&gt;Summary!$B$3,"Current",IF(F1920&lt;=30,"0-30",IF(F1920&lt;=60,"31-60",IF(F1920&lt;=90,"61-90","90+"))))</f>
        <v/>
      </c>
    </row>
    <row r="1921">
      <c r="A1921" t="inlineStr">
        <is>
          <t>0009029171</t>
        </is>
      </c>
      <c r="B1921" t="inlineStr">
        <is>
          <t>0000100206</t>
        </is>
      </c>
      <c r="C1921" s="3" t="n">
        <v>46008</v>
      </c>
      <c r="D1921" s="3" t="n">
        <v>46053</v>
      </c>
      <c r="E1921" s="4" t="n">
        <v>793.9299999999999</v>
      </c>
      <c r="F1921">
        <f>Summary!$B$3-D1921</f>
        <v/>
      </c>
      <c r="G1921">
        <f>IF(D1921&gt;Summary!$B$3,"Current",IF(F1921&lt;=30,"0-30",IF(F1921&lt;=60,"31-60",IF(F1921&lt;=90,"61-90","90+"))))</f>
        <v/>
      </c>
    </row>
    <row r="1922">
      <c r="A1922" t="inlineStr">
        <is>
          <t>0009029172</t>
        </is>
      </c>
      <c r="B1922" t="inlineStr">
        <is>
          <t>0000100344</t>
        </is>
      </c>
      <c r="C1922" s="3" t="n">
        <v>46012</v>
      </c>
      <c r="D1922" s="3" t="n">
        <v>46042</v>
      </c>
      <c r="E1922" s="4" t="n">
        <v>931.3200000000001</v>
      </c>
      <c r="F1922">
        <f>Summary!$B$3-D1922</f>
        <v/>
      </c>
      <c r="G1922">
        <f>IF(D1922&gt;Summary!$B$3,"Current",IF(F1922&lt;=30,"0-30",IF(F1922&lt;=60,"31-60",IF(F1922&lt;=90,"61-90","90+"))))</f>
        <v/>
      </c>
    </row>
    <row r="1923">
      <c r="A1923" t="inlineStr">
        <is>
          <t>0009029173</t>
        </is>
      </c>
      <c r="B1923" t="inlineStr">
        <is>
          <t>0000100450</t>
        </is>
      </c>
      <c r="C1923" s="3" t="n">
        <v>46009</v>
      </c>
      <c r="D1923" s="3" t="n">
        <v>46054</v>
      </c>
      <c r="E1923" s="4" t="n">
        <v>243.96</v>
      </c>
      <c r="F1923">
        <f>Summary!$B$3-D1923</f>
        <v/>
      </c>
      <c r="G1923">
        <f>IF(D1923&gt;Summary!$B$3,"Current",IF(F1923&lt;=30,"0-30",IF(F1923&lt;=60,"31-60",IF(F1923&lt;=90,"61-90","90+"))))</f>
        <v/>
      </c>
    </row>
    <row r="1924">
      <c r="A1924" t="inlineStr">
        <is>
          <t>0009029174</t>
        </is>
      </c>
      <c r="B1924" t="inlineStr">
        <is>
          <t>0000100002</t>
        </is>
      </c>
      <c r="C1924" s="3" t="n">
        <v>46004</v>
      </c>
      <c r="D1924" s="3" t="n">
        <v>46064</v>
      </c>
      <c r="E1924" s="4" t="n">
        <v>744.42</v>
      </c>
      <c r="F1924">
        <f>Summary!$B$3-D1924</f>
        <v/>
      </c>
      <c r="G1924">
        <f>IF(D1924&gt;Summary!$B$3,"Current",IF(F1924&lt;=30,"0-30",IF(F1924&lt;=60,"31-60",IF(F1924&lt;=90,"61-90","90+"))))</f>
        <v/>
      </c>
    </row>
    <row r="1925">
      <c r="A1925" t="inlineStr">
        <is>
          <t>0009029176</t>
        </is>
      </c>
      <c r="B1925" t="inlineStr">
        <is>
          <t>0000100495</t>
        </is>
      </c>
      <c r="C1925" s="3" t="n">
        <v>46007</v>
      </c>
      <c r="D1925" s="3" t="n">
        <v>46037</v>
      </c>
      <c r="E1925" s="4" t="n">
        <v>397.89</v>
      </c>
      <c r="F1925">
        <f>Summary!$B$3-D1925</f>
        <v/>
      </c>
      <c r="G1925">
        <f>IF(D1925&gt;Summary!$B$3,"Current",IF(F1925&lt;=30,"0-30",IF(F1925&lt;=60,"31-60",IF(F1925&lt;=90,"61-90","90+"))))</f>
        <v/>
      </c>
    </row>
    <row r="1926">
      <c r="A1926" t="inlineStr">
        <is>
          <t>0009029177</t>
        </is>
      </c>
      <c r="B1926" t="inlineStr">
        <is>
          <t>0000100278</t>
        </is>
      </c>
      <c r="C1926" s="3" t="n">
        <v>46001</v>
      </c>
      <c r="D1926" s="3" t="n">
        <v>46046</v>
      </c>
      <c r="E1926" s="4" t="n">
        <v>439.98</v>
      </c>
      <c r="F1926">
        <f>Summary!$B$3-D1926</f>
        <v/>
      </c>
      <c r="G1926">
        <f>IF(D1926&gt;Summary!$B$3,"Current",IF(F1926&lt;=30,"0-30",IF(F1926&lt;=60,"31-60",IF(F1926&lt;=90,"61-90","90+"))))</f>
        <v/>
      </c>
    </row>
    <row r="1927">
      <c r="A1927" t="inlineStr">
        <is>
          <t>0009029178</t>
        </is>
      </c>
      <c r="B1927" t="inlineStr">
        <is>
          <t>0000100455</t>
        </is>
      </c>
      <c r="C1927" s="3" t="n">
        <v>46002</v>
      </c>
      <c r="D1927" s="3" t="n">
        <v>46047</v>
      </c>
      <c r="E1927" s="4" t="n">
        <v>1086.86</v>
      </c>
      <c r="F1927">
        <f>Summary!$B$3-D1927</f>
        <v/>
      </c>
      <c r="G1927">
        <f>IF(D1927&gt;Summary!$B$3,"Current",IF(F1927&lt;=30,"0-30",IF(F1927&lt;=60,"31-60",IF(F1927&lt;=90,"61-90","90+"))))</f>
        <v/>
      </c>
    </row>
    <row r="1928">
      <c r="A1928" t="inlineStr">
        <is>
          <t>0009029179</t>
        </is>
      </c>
      <c r="B1928" t="inlineStr">
        <is>
          <t>0000100311</t>
        </is>
      </c>
      <c r="C1928" s="3" t="n">
        <v>46006</v>
      </c>
      <c r="D1928" s="3" t="n">
        <v>46066</v>
      </c>
      <c r="E1928" s="4" t="n">
        <v>2362.7</v>
      </c>
      <c r="F1928">
        <f>Summary!$B$3-D1928</f>
        <v/>
      </c>
      <c r="G1928">
        <f>IF(D1928&gt;Summary!$B$3,"Current",IF(F1928&lt;=30,"0-30",IF(F1928&lt;=60,"31-60",IF(F1928&lt;=90,"61-90","90+"))))</f>
        <v/>
      </c>
    </row>
    <row r="1929">
      <c r="A1929" t="inlineStr">
        <is>
          <t>0009029180</t>
        </is>
      </c>
      <c r="B1929" t="inlineStr">
        <is>
          <t>0000100262</t>
        </is>
      </c>
      <c r="C1929" s="3" t="n">
        <v>46012</v>
      </c>
      <c r="D1929" s="3" t="n">
        <v>46057</v>
      </c>
      <c r="E1929" s="4" t="n">
        <v>589.5599999999999</v>
      </c>
      <c r="F1929">
        <f>Summary!$B$3-D1929</f>
        <v/>
      </c>
      <c r="G1929">
        <f>IF(D1929&gt;Summary!$B$3,"Current",IF(F1929&lt;=30,"0-30",IF(F1929&lt;=60,"31-60",IF(F1929&lt;=90,"61-90","90+"))))</f>
        <v/>
      </c>
    </row>
    <row r="1930">
      <c r="A1930" t="inlineStr">
        <is>
          <t>0009029181</t>
        </is>
      </c>
      <c r="B1930" t="inlineStr">
        <is>
          <t>0000100291</t>
        </is>
      </c>
      <c r="C1930" s="3" t="n">
        <v>46007</v>
      </c>
      <c r="D1930" s="3" t="n">
        <v>46067</v>
      </c>
      <c r="E1930" s="4" t="n">
        <v>172.15</v>
      </c>
      <c r="F1930">
        <f>Summary!$B$3-D1930</f>
        <v/>
      </c>
      <c r="G1930">
        <f>IF(D1930&gt;Summary!$B$3,"Current",IF(F1930&lt;=30,"0-30",IF(F1930&lt;=60,"31-60",IF(F1930&lt;=90,"61-90","90+"))))</f>
        <v/>
      </c>
    </row>
    <row r="1931">
      <c r="A1931" t="inlineStr">
        <is>
          <t>0009029182</t>
        </is>
      </c>
      <c r="B1931" t="inlineStr">
        <is>
          <t>0000100050</t>
        </is>
      </c>
      <c r="C1931" s="3" t="n">
        <v>46006</v>
      </c>
      <c r="D1931" s="3" t="n">
        <v>46036</v>
      </c>
      <c r="E1931" s="4" t="n">
        <v>3017.2</v>
      </c>
      <c r="F1931">
        <f>Summary!$B$3-D1931</f>
        <v/>
      </c>
      <c r="G1931">
        <f>IF(D1931&gt;Summary!$B$3,"Current",IF(F1931&lt;=30,"0-30",IF(F1931&lt;=60,"31-60",IF(F1931&lt;=90,"61-90","90+"))))</f>
        <v/>
      </c>
    </row>
    <row r="1932">
      <c r="A1932" t="inlineStr">
        <is>
          <t>0009029183</t>
        </is>
      </c>
      <c r="B1932" t="inlineStr">
        <is>
          <t>0000100393</t>
        </is>
      </c>
      <c r="C1932" s="3" t="n">
        <v>46005</v>
      </c>
      <c r="D1932" s="3" t="n">
        <v>46035</v>
      </c>
      <c r="E1932" s="4" t="n">
        <v>400.11</v>
      </c>
      <c r="F1932">
        <f>Summary!$B$3-D1932</f>
        <v/>
      </c>
      <c r="G1932">
        <f>IF(D1932&gt;Summary!$B$3,"Current",IF(F1932&lt;=30,"0-30",IF(F1932&lt;=60,"31-60",IF(F1932&lt;=90,"61-90","90+"))))</f>
        <v/>
      </c>
    </row>
    <row r="1933">
      <c r="A1933" t="inlineStr">
        <is>
          <t>0009029184</t>
        </is>
      </c>
      <c r="B1933" t="inlineStr">
        <is>
          <t>0000100382</t>
        </is>
      </c>
      <c r="C1933" s="3" t="n">
        <v>46007</v>
      </c>
      <c r="D1933" s="3" t="n">
        <v>46052</v>
      </c>
      <c r="E1933" s="4" t="n">
        <v>1001.84</v>
      </c>
      <c r="F1933">
        <f>Summary!$B$3-D1933</f>
        <v/>
      </c>
      <c r="G1933">
        <f>IF(D1933&gt;Summary!$B$3,"Current",IF(F1933&lt;=30,"0-30",IF(F1933&lt;=60,"31-60",IF(F1933&lt;=90,"61-90","90+"))))</f>
        <v/>
      </c>
    </row>
    <row r="1934">
      <c r="A1934" t="inlineStr">
        <is>
          <t>0009029185</t>
        </is>
      </c>
      <c r="B1934" t="inlineStr">
        <is>
          <t>0000100344</t>
        </is>
      </c>
      <c r="C1934" s="3" t="n">
        <v>46011</v>
      </c>
      <c r="D1934" s="3" t="n">
        <v>46041</v>
      </c>
      <c r="E1934" s="4" t="n">
        <v>391.28</v>
      </c>
      <c r="F1934">
        <f>Summary!$B$3-D1934</f>
        <v/>
      </c>
      <c r="G1934">
        <f>IF(D1934&gt;Summary!$B$3,"Current",IF(F1934&lt;=30,"0-30",IF(F1934&lt;=60,"31-60",IF(F1934&lt;=90,"61-90","90+"))))</f>
        <v/>
      </c>
    </row>
    <row r="1935">
      <c r="A1935" t="inlineStr">
        <is>
          <t>0009029186</t>
        </is>
      </c>
      <c r="B1935" t="inlineStr">
        <is>
          <t>0000100360</t>
        </is>
      </c>
      <c r="C1935" s="3" t="n">
        <v>46006</v>
      </c>
      <c r="D1935" s="3" t="n">
        <v>46051</v>
      </c>
      <c r="E1935" s="4" t="n">
        <v>45</v>
      </c>
      <c r="F1935">
        <f>Summary!$B$3-D1935</f>
        <v/>
      </c>
      <c r="G1935">
        <f>IF(D1935&gt;Summary!$B$3,"Current",IF(F1935&lt;=30,"0-30",IF(F1935&lt;=60,"31-60",IF(F1935&lt;=90,"61-90","90+"))))</f>
        <v/>
      </c>
    </row>
    <row r="1936">
      <c r="A1936" t="inlineStr">
        <is>
          <t>0009029187</t>
        </is>
      </c>
      <c r="B1936" t="inlineStr">
        <is>
          <t>0000100417</t>
        </is>
      </c>
      <c r="C1936" s="3" t="n">
        <v>46008</v>
      </c>
      <c r="D1936" s="3" t="n">
        <v>46068</v>
      </c>
      <c r="E1936" s="4" t="n">
        <v>636.9400000000001</v>
      </c>
      <c r="F1936">
        <f>Summary!$B$3-D1936</f>
        <v/>
      </c>
      <c r="G1936">
        <f>IF(D1936&gt;Summary!$B$3,"Current",IF(F1936&lt;=30,"0-30",IF(F1936&lt;=60,"31-60",IF(F1936&lt;=90,"61-90","90+"))))</f>
        <v/>
      </c>
    </row>
    <row r="1937">
      <c r="A1937" t="inlineStr">
        <is>
          <t>0009029188</t>
        </is>
      </c>
      <c r="B1937" t="inlineStr">
        <is>
          <t>0000100163</t>
        </is>
      </c>
      <c r="C1937" s="3" t="n">
        <v>46007</v>
      </c>
      <c r="D1937" s="3" t="n">
        <v>46037</v>
      </c>
      <c r="E1937" s="4" t="n">
        <v>866.04</v>
      </c>
      <c r="F1937">
        <f>Summary!$B$3-D1937</f>
        <v/>
      </c>
      <c r="G1937">
        <f>IF(D1937&gt;Summary!$B$3,"Current",IF(F1937&lt;=30,"0-30",IF(F1937&lt;=60,"31-60",IF(F1937&lt;=90,"61-90","90+"))))</f>
        <v/>
      </c>
    </row>
    <row r="1938">
      <c r="A1938" t="inlineStr">
        <is>
          <t>0009029189</t>
        </is>
      </c>
      <c r="B1938" t="inlineStr">
        <is>
          <t>0000100001</t>
        </is>
      </c>
      <c r="C1938" s="3" t="n">
        <v>46010</v>
      </c>
      <c r="D1938" s="3" t="n">
        <v>46055</v>
      </c>
      <c r="E1938" s="4" t="n">
        <v>143.16</v>
      </c>
      <c r="F1938">
        <f>Summary!$B$3-D1938</f>
        <v/>
      </c>
      <c r="G1938">
        <f>IF(D1938&gt;Summary!$B$3,"Current",IF(F1938&lt;=30,"0-30",IF(F1938&lt;=60,"31-60",IF(F1938&lt;=90,"61-90","90+"))))</f>
        <v/>
      </c>
    </row>
    <row r="1939">
      <c r="A1939" t="inlineStr">
        <is>
          <t>0009029190</t>
        </is>
      </c>
      <c r="B1939" t="inlineStr">
        <is>
          <t>0000100083</t>
        </is>
      </c>
      <c r="C1939" s="3" t="n">
        <v>46005</v>
      </c>
      <c r="D1939" s="3" t="n">
        <v>46035</v>
      </c>
      <c r="E1939" s="4" t="n">
        <v>878.66</v>
      </c>
      <c r="F1939">
        <f>Summary!$B$3-D1939</f>
        <v/>
      </c>
      <c r="G1939">
        <f>IF(D1939&gt;Summary!$B$3,"Current",IF(F1939&lt;=30,"0-30",IF(F1939&lt;=60,"31-60",IF(F1939&lt;=90,"61-90","90+"))))</f>
        <v/>
      </c>
    </row>
    <row r="1940">
      <c r="A1940" t="inlineStr">
        <is>
          <t>0009029191</t>
        </is>
      </c>
      <c r="B1940" t="inlineStr">
        <is>
          <t>0000100315</t>
        </is>
      </c>
      <c r="C1940" s="3" t="n">
        <v>46003</v>
      </c>
      <c r="D1940" s="3" t="n">
        <v>46063</v>
      </c>
      <c r="E1940" s="4" t="n">
        <v>1051.02</v>
      </c>
      <c r="F1940">
        <f>Summary!$B$3-D1940</f>
        <v/>
      </c>
      <c r="G1940">
        <f>IF(D1940&gt;Summary!$B$3,"Current",IF(F1940&lt;=30,"0-30",IF(F1940&lt;=60,"31-60",IF(F1940&lt;=90,"61-90","90+"))))</f>
        <v/>
      </c>
    </row>
    <row r="1941">
      <c r="A1941" t="inlineStr">
        <is>
          <t>0009029192</t>
        </is>
      </c>
      <c r="B1941" t="inlineStr">
        <is>
          <t>0000100400</t>
        </is>
      </c>
      <c r="C1941" s="3" t="n">
        <v>46007</v>
      </c>
      <c r="D1941" s="3" t="n">
        <v>46037</v>
      </c>
      <c r="E1941" s="4" t="n">
        <v>1743.4</v>
      </c>
      <c r="F1941">
        <f>Summary!$B$3-D1941</f>
        <v/>
      </c>
      <c r="G1941">
        <f>IF(D1941&gt;Summary!$B$3,"Current",IF(F1941&lt;=30,"0-30",IF(F1941&lt;=60,"31-60",IF(F1941&lt;=90,"61-90","90+"))))</f>
        <v/>
      </c>
    </row>
    <row r="1942">
      <c r="A1942" t="inlineStr">
        <is>
          <t>0009029193</t>
        </is>
      </c>
      <c r="B1942" t="inlineStr">
        <is>
          <t>0000100516</t>
        </is>
      </c>
      <c r="C1942" s="3" t="n">
        <v>46012</v>
      </c>
      <c r="D1942" s="3" t="n">
        <v>46042</v>
      </c>
      <c r="E1942" s="4" t="n">
        <v>2915.69</v>
      </c>
      <c r="F1942">
        <f>Summary!$B$3-D1942</f>
        <v/>
      </c>
      <c r="G1942">
        <f>IF(D1942&gt;Summary!$B$3,"Current",IF(F1942&lt;=30,"0-30",IF(F1942&lt;=60,"31-60",IF(F1942&lt;=90,"61-90","90+"))))</f>
        <v/>
      </c>
    </row>
    <row r="1943">
      <c r="A1943" t="inlineStr">
        <is>
          <t>0009029194</t>
        </is>
      </c>
      <c r="B1943" t="inlineStr">
        <is>
          <t>0000100582</t>
        </is>
      </c>
      <c r="C1943" s="3" t="n">
        <v>46010</v>
      </c>
      <c r="D1943" s="3" t="n">
        <v>46040</v>
      </c>
      <c r="E1943" s="4" t="n">
        <v>713.77</v>
      </c>
      <c r="F1943">
        <f>Summary!$B$3-D1943</f>
        <v/>
      </c>
      <c r="G1943">
        <f>IF(D1943&gt;Summary!$B$3,"Current",IF(F1943&lt;=30,"0-30",IF(F1943&lt;=60,"31-60",IF(F1943&lt;=90,"61-90","90+"))))</f>
        <v/>
      </c>
    </row>
    <row r="1944">
      <c r="A1944" t="inlineStr">
        <is>
          <t>0009029195</t>
        </is>
      </c>
      <c r="B1944" t="inlineStr">
        <is>
          <t>0000100226</t>
        </is>
      </c>
      <c r="C1944" s="3" t="n">
        <v>46010</v>
      </c>
      <c r="D1944" s="3" t="n">
        <v>46055</v>
      </c>
      <c r="E1944" s="4" t="n">
        <v>1522.31</v>
      </c>
      <c r="F1944">
        <f>Summary!$B$3-D1944</f>
        <v/>
      </c>
      <c r="G1944">
        <f>IF(D1944&gt;Summary!$B$3,"Current",IF(F1944&lt;=30,"0-30",IF(F1944&lt;=60,"31-60",IF(F1944&lt;=90,"61-90","90+"))))</f>
        <v/>
      </c>
    </row>
    <row r="1945">
      <c r="A1945" t="inlineStr">
        <is>
          <t>0009029196</t>
        </is>
      </c>
      <c r="B1945" t="inlineStr">
        <is>
          <t>0000100357</t>
        </is>
      </c>
      <c r="C1945" s="3" t="n">
        <v>46008</v>
      </c>
      <c r="D1945" s="3" t="n">
        <v>46053</v>
      </c>
      <c r="E1945" s="4" t="n">
        <v>290.67</v>
      </c>
      <c r="F1945">
        <f>Summary!$B$3-D1945</f>
        <v/>
      </c>
      <c r="G1945">
        <f>IF(D1945&gt;Summary!$B$3,"Current",IF(F1945&lt;=30,"0-30",IF(F1945&lt;=60,"31-60",IF(F1945&lt;=90,"61-90","90+"))))</f>
        <v/>
      </c>
    </row>
    <row r="1946">
      <c r="A1946" t="inlineStr">
        <is>
          <t>0009029197</t>
        </is>
      </c>
      <c r="B1946" t="inlineStr">
        <is>
          <t>0000100043</t>
        </is>
      </c>
      <c r="C1946" s="3" t="n">
        <v>46008</v>
      </c>
      <c r="D1946" s="3" t="n">
        <v>46038</v>
      </c>
      <c r="E1946" s="4" t="n">
        <v>119.08</v>
      </c>
      <c r="F1946">
        <f>Summary!$B$3-D1946</f>
        <v/>
      </c>
      <c r="G1946">
        <f>IF(D1946&gt;Summary!$B$3,"Current",IF(F1946&lt;=30,"0-30",IF(F1946&lt;=60,"31-60",IF(F1946&lt;=90,"61-90","90+"))))</f>
        <v/>
      </c>
    </row>
    <row r="1947">
      <c r="A1947" t="inlineStr">
        <is>
          <t>0009029198</t>
        </is>
      </c>
      <c r="B1947" t="inlineStr">
        <is>
          <t>0000100071</t>
        </is>
      </c>
      <c r="C1947" s="3" t="n">
        <v>46006</v>
      </c>
      <c r="D1947" s="3" t="n">
        <v>46051</v>
      </c>
      <c r="E1947" s="4" t="n">
        <v>1105.31</v>
      </c>
      <c r="F1947">
        <f>Summary!$B$3-D1947</f>
        <v/>
      </c>
      <c r="G1947">
        <f>IF(D1947&gt;Summary!$B$3,"Current",IF(F1947&lt;=30,"0-30",IF(F1947&lt;=60,"31-60",IF(F1947&lt;=90,"61-90","90+"))))</f>
        <v/>
      </c>
    </row>
    <row r="1948">
      <c r="A1948" t="inlineStr">
        <is>
          <t>0009029199</t>
        </is>
      </c>
      <c r="B1948" t="inlineStr">
        <is>
          <t>0000100460</t>
        </is>
      </c>
      <c r="C1948" s="3" t="n">
        <v>46013</v>
      </c>
      <c r="D1948" s="3" t="n">
        <v>46073</v>
      </c>
      <c r="E1948" s="4" t="n">
        <v>1503.86</v>
      </c>
      <c r="F1948">
        <f>Summary!$B$3-D1948</f>
        <v/>
      </c>
      <c r="G1948">
        <f>IF(D1948&gt;Summary!$B$3,"Current",IF(F1948&lt;=30,"0-30",IF(F1948&lt;=60,"31-60",IF(F1948&lt;=90,"61-90","90+"))))</f>
        <v/>
      </c>
    </row>
    <row r="1949">
      <c r="A1949" t="inlineStr">
        <is>
          <t>0009029200</t>
        </is>
      </c>
      <c r="B1949" t="inlineStr">
        <is>
          <t>0000100226</t>
        </is>
      </c>
      <c r="C1949" s="3" t="n">
        <v>46005</v>
      </c>
      <c r="D1949" s="3" t="n">
        <v>46050</v>
      </c>
      <c r="E1949" s="4" t="n">
        <v>438.38</v>
      </c>
      <c r="F1949">
        <f>Summary!$B$3-D1949</f>
        <v/>
      </c>
      <c r="G1949">
        <f>IF(D1949&gt;Summary!$B$3,"Current",IF(F1949&lt;=30,"0-30",IF(F1949&lt;=60,"31-60",IF(F1949&lt;=90,"61-90","90+"))))</f>
        <v/>
      </c>
    </row>
    <row r="1950">
      <c r="A1950" t="inlineStr">
        <is>
          <t>0009029201</t>
        </is>
      </c>
      <c r="B1950" t="inlineStr">
        <is>
          <t>0000100125</t>
        </is>
      </c>
      <c r="C1950" s="3" t="n">
        <v>46004</v>
      </c>
      <c r="D1950" s="3" t="n">
        <v>46034</v>
      </c>
      <c r="E1950" s="4" t="n">
        <v>237</v>
      </c>
      <c r="F1950">
        <f>Summary!$B$3-D1950</f>
        <v/>
      </c>
      <c r="G1950">
        <f>IF(D1950&gt;Summary!$B$3,"Current",IF(F1950&lt;=30,"0-30",IF(F1950&lt;=60,"31-60",IF(F1950&lt;=90,"61-90","90+"))))</f>
        <v/>
      </c>
    </row>
    <row r="1951">
      <c r="A1951" t="inlineStr">
        <is>
          <t>0009029202</t>
        </is>
      </c>
      <c r="B1951" t="inlineStr">
        <is>
          <t>0000100202</t>
        </is>
      </c>
      <c r="C1951" s="3" t="n">
        <v>46010</v>
      </c>
      <c r="D1951" s="3" t="n">
        <v>46070</v>
      </c>
      <c r="E1951" s="4" t="n">
        <v>107.5</v>
      </c>
      <c r="F1951">
        <f>Summary!$B$3-D1951</f>
        <v/>
      </c>
      <c r="G1951">
        <f>IF(D1951&gt;Summary!$B$3,"Current",IF(F1951&lt;=30,"0-30",IF(F1951&lt;=60,"31-60",IF(F1951&lt;=90,"61-90","90+"))))</f>
        <v/>
      </c>
    </row>
    <row r="1952">
      <c r="A1952" t="inlineStr">
        <is>
          <t>0009029203</t>
        </is>
      </c>
      <c r="B1952" t="inlineStr">
        <is>
          <t>0000100456</t>
        </is>
      </c>
      <c r="C1952" s="3" t="n">
        <v>46003</v>
      </c>
      <c r="D1952" s="3" t="n">
        <v>46063</v>
      </c>
      <c r="E1952" s="4" t="n">
        <v>364.42</v>
      </c>
      <c r="F1952">
        <f>Summary!$B$3-D1952</f>
        <v/>
      </c>
      <c r="G1952">
        <f>IF(D1952&gt;Summary!$B$3,"Current",IF(F1952&lt;=30,"0-30",IF(F1952&lt;=60,"31-60",IF(F1952&lt;=90,"61-90","90+"))))</f>
        <v/>
      </c>
    </row>
    <row r="1953">
      <c r="A1953" t="inlineStr">
        <is>
          <t>0009029204</t>
        </is>
      </c>
      <c r="B1953" t="inlineStr">
        <is>
          <t>0000100413</t>
        </is>
      </c>
      <c r="C1953" s="3" t="n">
        <v>46008</v>
      </c>
      <c r="D1953" s="3" t="n">
        <v>46068</v>
      </c>
      <c r="E1953" s="4" t="n">
        <v>746.27</v>
      </c>
      <c r="F1953">
        <f>Summary!$B$3-D1953</f>
        <v/>
      </c>
      <c r="G1953">
        <f>IF(D1953&gt;Summary!$B$3,"Current",IF(F1953&lt;=30,"0-30",IF(F1953&lt;=60,"31-60",IF(F1953&lt;=90,"61-90","90+"))))</f>
        <v/>
      </c>
    </row>
    <row r="1954">
      <c r="A1954" t="inlineStr">
        <is>
          <t>0009029205</t>
        </is>
      </c>
      <c r="B1954" t="inlineStr">
        <is>
          <t>0000100021</t>
        </is>
      </c>
      <c r="C1954" s="3" t="n">
        <v>46008</v>
      </c>
      <c r="D1954" s="3" t="n">
        <v>46038</v>
      </c>
      <c r="E1954" s="4" t="n">
        <v>2100.16</v>
      </c>
      <c r="F1954">
        <f>Summary!$B$3-D1954</f>
        <v/>
      </c>
      <c r="G1954">
        <f>IF(D1954&gt;Summary!$B$3,"Current",IF(F1954&lt;=30,"0-30",IF(F1954&lt;=60,"31-60",IF(F1954&lt;=90,"61-90","90+"))))</f>
        <v/>
      </c>
    </row>
    <row r="1955">
      <c r="A1955" t="inlineStr">
        <is>
          <t>0009029206</t>
        </is>
      </c>
      <c r="B1955" t="inlineStr">
        <is>
          <t>0000100141</t>
        </is>
      </c>
      <c r="C1955" s="3" t="n">
        <v>46004</v>
      </c>
      <c r="D1955" s="3" t="n">
        <v>46034</v>
      </c>
      <c r="E1955" s="4" t="n">
        <v>463.5</v>
      </c>
      <c r="F1955">
        <f>Summary!$B$3-D1955</f>
        <v/>
      </c>
      <c r="G1955">
        <f>IF(D1955&gt;Summary!$B$3,"Current",IF(F1955&lt;=30,"0-30",IF(F1955&lt;=60,"31-60",IF(F1955&lt;=90,"61-90","90+"))))</f>
        <v/>
      </c>
    </row>
    <row r="1956">
      <c r="A1956" t="inlineStr">
        <is>
          <t>0009029208</t>
        </is>
      </c>
      <c r="B1956" t="inlineStr">
        <is>
          <t>0000100598</t>
        </is>
      </c>
      <c r="C1956" s="3" t="n">
        <v>46007</v>
      </c>
      <c r="D1956" s="3" t="n">
        <v>46037</v>
      </c>
      <c r="E1956" s="4" t="n">
        <v>4988.47</v>
      </c>
      <c r="F1956">
        <f>Summary!$B$3-D1956</f>
        <v/>
      </c>
      <c r="G1956">
        <f>IF(D1956&gt;Summary!$B$3,"Current",IF(F1956&lt;=30,"0-30",IF(F1956&lt;=60,"31-60",IF(F1956&lt;=90,"61-90","90+"))))</f>
        <v/>
      </c>
    </row>
    <row r="1957">
      <c r="A1957" t="inlineStr">
        <is>
          <t>0009029209</t>
        </is>
      </c>
      <c r="B1957" t="inlineStr">
        <is>
          <t>0000100056</t>
        </is>
      </c>
      <c r="C1957" s="3" t="n">
        <v>46009</v>
      </c>
      <c r="D1957" s="3" t="n">
        <v>46069</v>
      </c>
      <c r="E1957" s="4" t="n">
        <v>2515.06</v>
      </c>
      <c r="F1957">
        <f>Summary!$B$3-D1957</f>
        <v/>
      </c>
      <c r="G1957">
        <f>IF(D1957&gt;Summary!$B$3,"Current",IF(F1957&lt;=30,"0-30",IF(F1957&lt;=60,"31-60",IF(F1957&lt;=90,"61-90","90+"))))</f>
        <v/>
      </c>
    </row>
    <row r="1958">
      <c r="A1958" t="inlineStr">
        <is>
          <t>0009029210</t>
        </is>
      </c>
      <c r="B1958" t="inlineStr">
        <is>
          <t>0000100588</t>
        </is>
      </c>
      <c r="C1958" s="3" t="n">
        <v>46011</v>
      </c>
      <c r="D1958" s="3" t="n">
        <v>46041</v>
      </c>
      <c r="E1958" s="4" t="n">
        <v>148.48</v>
      </c>
      <c r="F1958">
        <f>Summary!$B$3-D1958</f>
        <v/>
      </c>
      <c r="G1958">
        <f>IF(D1958&gt;Summary!$B$3,"Current",IF(F1958&lt;=30,"0-30",IF(F1958&lt;=60,"31-60",IF(F1958&lt;=90,"61-90","90+"))))</f>
        <v/>
      </c>
    </row>
    <row r="1959">
      <c r="A1959" t="inlineStr">
        <is>
          <t>0009029211</t>
        </is>
      </c>
      <c r="B1959" t="inlineStr">
        <is>
          <t>0000100543</t>
        </is>
      </c>
      <c r="C1959" s="3" t="n">
        <v>46005</v>
      </c>
      <c r="D1959" s="3" t="n">
        <v>46065</v>
      </c>
      <c r="E1959" s="4" t="n">
        <v>581.15</v>
      </c>
      <c r="F1959">
        <f>Summary!$B$3-D1959</f>
        <v/>
      </c>
      <c r="G1959">
        <f>IF(D1959&gt;Summary!$B$3,"Current",IF(F1959&lt;=30,"0-30",IF(F1959&lt;=60,"31-60",IF(F1959&lt;=90,"61-90","90+"))))</f>
        <v/>
      </c>
    </row>
    <row r="1960">
      <c r="A1960" t="inlineStr">
        <is>
          <t>0009029212</t>
        </is>
      </c>
      <c r="B1960" t="inlineStr">
        <is>
          <t>0000100539</t>
        </is>
      </c>
      <c r="C1960" s="3" t="n">
        <v>46006</v>
      </c>
      <c r="D1960" s="3" t="n">
        <v>46051</v>
      </c>
      <c r="E1960" s="4" t="n">
        <v>622.15</v>
      </c>
      <c r="F1960">
        <f>Summary!$B$3-D1960</f>
        <v/>
      </c>
      <c r="G1960">
        <f>IF(D1960&gt;Summary!$B$3,"Current",IF(F1960&lt;=30,"0-30",IF(F1960&lt;=60,"31-60",IF(F1960&lt;=90,"61-90","90+"))))</f>
        <v/>
      </c>
    </row>
    <row r="1961">
      <c r="A1961" t="inlineStr">
        <is>
          <t>0009029213</t>
        </is>
      </c>
      <c r="B1961" t="inlineStr">
        <is>
          <t>0000100073</t>
        </is>
      </c>
      <c r="C1961" s="3" t="n">
        <v>46011</v>
      </c>
      <c r="D1961" s="3" t="n">
        <v>46056</v>
      </c>
      <c r="E1961" s="4" t="n">
        <v>89.34999999999999</v>
      </c>
      <c r="F1961">
        <f>Summary!$B$3-D1961</f>
        <v/>
      </c>
      <c r="G1961">
        <f>IF(D1961&gt;Summary!$B$3,"Current",IF(F1961&lt;=30,"0-30",IF(F1961&lt;=60,"31-60",IF(F1961&lt;=90,"61-90","90+"))))</f>
        <v/>
      </c>
    </row>
    <row r="1962">
      <c r="A1962" t="inlineStr">
        <is>
          <t>0009029214</t>
        </is>
      </c>
      <c r="B1962" t="inlineStr">
        <is>
          <t>0000100484</t>
        </is>
      </c>
      <c r="C1962" s="3" t="n">
        <v>46006</v>
      </c>
      <c r="D1962" s="3" t="n">
        <v>46066</v>
      </c>
      <c r="E1962" s="4" t="n">
        <v>2487.72</v>
      </c>
      <c r="F1962">
        <f>Summary!$B$3-D1962</f>
        <v/>
      </c>
      <c r="G1962">
        <f>IF(D1962&gt;Summary!$B$3,"Current",IF(F1962&lt;=30,"0-30",IF(F1962&lt;=60,"31-60",IF(F1962&lt;=90,"61-90","90+"))))</f>
        <v/>
      </c>
    </row>
    <row r="1963">
      <c r="A1963" t="inlineStr">
        <is>
          <t>0009029215</t>
        </is>
      </c>
      <c r="B1963" t="inlineStr">
        <is>
          <t>0000100525</t>
        </is>
      </c>
      <c r="C1963" s="3" t="n">
        <v>46009</v>
      </c>
      <c r="D1963" s="3" t="n">
        <v>46054</v>
      </c>
      <c r="E1963" s="4" t="n">
        <v>1048.65</v>
      </c>
      <c r="F1963">
        <f>Summary!$B$3-D1963</f>
        <v/>
      </c>
      <c r="G1963">
        <f>IF(D1963&gt;Summary!$B$3,"Current",IF(F1963&lt;=30,"0-30",IF(F1963&lt;=60,"31-60",IF(F1963&lt;=90,"61-90","90+"))))</f>
        <v/>
      </c>
    </row>
    <row r="1964">
      <c r="A1964" t="inlineStr">
        <is>
          <t>0009029216</t>
        </is>
      </c>
      <c r="B1964" t="inlineStr">
        <is>
          <t>0000100331</t>
        </is>
      </c>
      <c r="C1964" s="3" t="n">
        <v>46004</v>
      </c>
      <c r="D1964" s="3" t="n">
        <v>46034</v>
      </c>
      <c r="E1964" s="4" t="n">
        <v>1367.13</v>
      </c>
      <c r="F1964">
        <f>Summary!$B$3-D1964</f>
        <v/>
      </c>
      <c r="G1964">
        <f>IF(D1964&gt;Summary!$B$3,"Current",IF(F1964&lt;=30,"0-30",IF(F1964&lt;=60,"31-60",IF(F1964&lt;=90,"61-90","90+"))))</f>
        <v/>
      </c>
    </row>
    <row r="1965">
      <c r="A1965" t="inlineStr">
        <is>
          <t>0009029217</t>
        </is>
      </c>
      <c r="B1965" t="inlineStr">
        <is>
          <t>0000100586</t>
        </is>
      </c>
      <c r="C1965" s="3" t="n">
        <v>46003</v>
      </c>
      <c r="D1965" s="3" t="n">
        <v>46033</v>
      </c>
      <c r="E1965" s="4" t="n">
        <v>883.88</v>
      </c>
      <c r="F1965">
        <f>Summary!$B$3-D1965</f>
        <v/>
      </c>
      <c r="G1965">
        <f>IF(D1965&gt;Summary!$B$3,"Current",IF(F1965&lt;=30,"0-30",IF(F1965&lt;=60,"31-60",IF(F1965&lt;=90,"61-90","90+"))))</f>
        <v/>
      </c>
    </row>
    <row r="1966">
      <c r="A1966" t="inlineStr">
        <is>
          <t>0009029218</t>
        </is>
      </c>
      <c r="B1966" t="inlineStr">
        <is>
          <t>0000100070</t>
        </is>
      </c>
      <c r="C1966" s="3" t="n">
        <v>46007</v>
      </c>
      <c r="D1966" s="3" t="n">
        <v>46037</v>
      </c>
      <c r="E1966" s="4" t="n">
        <v>670.22</v>
      </c>
      <c r="F1966">
        <f>Summary!$B$3-D1966</f>
        <v/>
      </c>
      <c r="G1966">
        <f>IF(D1966&gt;Summary!$B$3,"Current",IF(F1966&lt;=30,"0-30",IF(F1966&lt;=60,"31-60",IF(F1966&lt;=90,"61-90","90+"))))</f>
        <v/>
      </c>
    </row>
    <row r="1967">
      <c r="A1967" t="inlineStr">
        <is>
          <t>0009029219</t>
        </is>
      </c>
      <c r="B1967" t="inlineStr">
        <is>
          <t>0000100123</t>
        </is>
      </c>
      <c r="C1967" s="3" t="n">
        <v>46010</v>
      </c>
      <c r="D1967" s="3" t="n">
        <v>46070</v>
      </c>
      <c r="E1967" s="4" t="n">
        <v>1237.39</v>
      </c>
      <c r="F1967">
        <f>Summary!$B$3-D1967</f>
        <v/>
      </c>
      <c r="G1967">
        <f>IF(D1967&gt;Summary!$B$3,"Current",IF(F1967&lt;=30,"0-30",IF(F1967&lt;=60,"31-60",IF(F1967&lt;=90,"61-90","90+"))))</f>
        <v/>
      </c>
    </row>
    <row r="1968">
      <c r="A1968" t="inlineStr">
        <is>
          <t>0009029220</t>
        </is>
      </c>
      <c r="B1968" t="inlineStr">
        <is>
          <t>0000100412</t>
        </is>
      </c>
      <c r="C1968" s="3" t="n">
        <v>46018</v>
      </c>
      <c r="D1968" s="3" t="n">
        <v>46048</v>
      </c>
      <c r="E1968" s="4" t="n">
        <v>553.65</v>
      </c>
      <c r="F1968">
        <f>Summary!$B$3-D1968</f>
        <v/>
      </c>
      <c r="G1968">
        <f>IF(D1968&gt;Summary!$B$3,"Current",IF(F1968&lt;=30,"0-30",IF(F1968&lt;=60,"31-60",IF(F1968&lt;=90,"61-90","90+"))))</f>
        <v/>
      </c>
    </row>
    <row r="1969">
      <c r="A1969" t="inlineStr">
        <is>
          <t>0009029221</t>
        </is>
      </c>
      <c r="B1969" t="inlineStr">
        <is>
          <t>0000100571</t>
        </is>
      </c>
      <c r="C1969" s="3" t="n">
        <v>46010</v>
      </c>
      <c r="D1969" s="3" t="n">
        <v>46055</v>
      </c>
      <c r="E1969" s="4" t="n">
        <v>325</v>
      </c>
      <c r="F1969">
        <f>Summary!$B$3-D1969</f>
        <v/>
      </c>
      <c r="G1969">
        <f>IF(D1969&gt;Summary!$B$3,"Current",IF(F1969&lt;=30,"0-30",IF(F1969&lt;=60,"31-60",IF(F1969&lt;=90,"61-90","90+"))))</f>
        <v/>
      </c>
    </row>
    <row r="1970">
      <c r="A1970" t="inlineStr">
        <is>
          <t>0009029222</t>
        </is>
      </c>
      <c r="B1970" t="inlineStr">
        <is>
          <t>0000100242</t>
        </is>
      </c>
      <c r="C1970" s="3" t="n">
        <v>46007</v>
      </c>
      <c r="D1970" s="3" t="n">
        <v>46052</v>
      </c>
      <c r="E1970" s="4" t="n">
        <v>1518.98</v>
      </c>
      <c r="F1970">
        <f>Summary!$B$3-D1970</f>
        <v/>
      </c>
      <c r="G1970">
        <f>IF(D1970&gt;Summary!$B$3,"Current",IF(F1970&lt;=30,"0-30",IF(F1970&lt;=60,"31-60",IF(F1970&lt;=90,"61-90","90+"))))</f>
        <v/>
      </c>
    </row>
    <row r="1971">
      <c r="A1971" t="inlineStr">
        <is>
          <t>0009029223</t>
        </is>
      </c>
      <c r="B1971" t="inlineStr">
        <is>
          <t>0000100111</t>
        </is>
      </c>
      <c r="C1971" s="3" t="n">
        <v>46010</v>
      </c>
      <c r="D1971" s="3" t="n">
        <v>46055</v>
      </c>
      <c r="E1971" s="4" t="n">
        <v>488.69</v>
      </c>
      <c r="F1971">
        <f>Summary!$B$3-D1971</f>
        <v/>
      </c>
      <c r="G1971">
        <f>IF(D1971&gt;Summary!$B$3,"Current",IF(F1971&lt;=30,"0-30",IF(F1971&lt;=60,"31-60",IF(F1971&lt;=90,"61-90","90+"))))</f>
        <v/>
      </c>
    </row>
    <row r="1972">
      <c r="A1972" t="inlineStr">
        <is>
          <t>0009029224</t>
        </is>
      </c>
      <c r="B1972" t="inlineStr">
        <is>
          <t>0000100219</t>
        </is>
      </c>
      <c r="C1972" s="3" t="n">
        <v>46010</v>
      </c>
      <c r="D1972" s="3" t="n">
        <v>46040</v>
      </c>
      <c r="E1972" s="4" t="n">
        <v>44.15</v>
      </c>
      <c r="F1972">
        <f>Summary!$B$3-D1972</f>
        <v/>
      </c>
      <c r="G1972">
        <f>IF(D1972&gt;Summary!$B$3,"Current",IF(F1972&lt;=30,"0-30",IF(F1972&lt;=60,"31-60",IF(F1972&lt;=90,"61-90","90+"))))</f>
        <v/>
      </c>
    </row>
    <row r="1973">
      <c r="A1973" t="inlineStr">
        <is>
          <t>0009029225</t>
        </is>
      </c>
      <c r="B1973" t="inlineStr">
        <is>
          <t>0000100502</t>
        </is>
      </c>
      <c r="C1973" s="3" t="n">
        <v>46006</v>
      </c>
      <c r="D1973" s="3" t="n">
        <v>46051</v>
      </c>
      <c r="E1973" s="4" t="n">
        <v>2126.87</v>
      </c>
      <c r="F1973">
        <f>Summary!$B$3-D1973</f>
        <v/>
      </c>
      <c r="G1973">
        <f>IF(D1973&gt;Summary!$B$3,"Current",IF(F1973&lt;=30,"0-30",IF(F1973&lt;=60,"31-60",IF(F1973&lt;=90,"61-90","90+"))))</f>
        <v/>
      </c>
    </row>
    <row r="1974">
      <c r="A1974" t="inlineStr">
        <is>
          <t>0009029226</t>
        </is>
      </c>
      <c r="B1974" t="inlineStr">
        <is>
          <t>0000100274</t>
        </is>
      </c>
      <c r="C1974" s="3" t="n">
        <v>46005</v>
      </c>
      <c r="D1974" s="3" t="n">
        <v>46050</v>
      </c>
      <c r="E1974" s="4" t="n">
        <v>832.72</v>
      </c>
      <c r="F1974">
        <f>Summary!$B$3-D1974</f>
        <v/>
      </c>
      <c r="G1974">
        <f>IF(D1974&gt;Summary!$B$3,"Current",IF(F1974&lt;=30,"0-30",IF(F1974&lt;=60,"31-60",IF(F1974&lt;=90,"61-90","90+"))))</f>
        <v/>
      </c>
    </row>
    <row r="1975">
      <c r="A1975" t="inlineStr">
        <is>
          <t>0009029227</t>
        </is>
      </c>
      <c r="B1975" t="inlineStr">
        <is>
          <t>0000100417</t>
        </is>
      </c>
      <c r="C1975" s="3" t="n">
        <v>46008</v>
      </c>
      <c r="D1975" s="3" t="n">
        <v>46068</v>
      </c>
      <c r="E1975" s="4" t="n">
        <v>1445.98</v>
      </c>
      <c r="F1975">
        <f>Summary!$B$3-D1975</f>
        <v/>
      </c>
      <c r="G1975">
        <f>IF(D1975&gt;Summary!$B$3,"Current",IF(F1975&lt;=30,"0-30",IF(F1975&lt;=60,"31-60",IF(F1975&lt;=90,"61-90","90+"))))</f>
        <v/>
      </c>
    </row>
    <row r="1976">
      <c r="A1976" t="inlineStr">
        <is>
          <t>0009029228</t>
        </is>
      </c>
      <c r="B1976" t="inlineStr">
        <is>
          <t>0000100058</t>
        </is>
      </c>
      <c r="C1976" s="3" t="n">
        <v>46007</v>
      </c>
      <c r="D1976" s="3" t="n">
        <v>46052</v>
      </c>
      <c r="E1976" s="4" t="n">
        <v>2991.61</v>
      </c>
      <c r="F1976">
        <f>Summary!$B$3-D1976</f>
        <v/>
      </c>
      <c r="G1976">
        <f>IF(D1976&gt;Summary!$B$3,"Current",IF(F1976&lt;=30,"0-30",IF(F1976&lt;=60,"31-60",IF(F1976&lt;=90,"61-90","90+"))))</f>
        <v/>
      </c>
    </row>
    <row r="1977">
      <c r="A1977" t="inlineStr">
        <is>
          <t>0009029229</t>
        </is>
      </c>
      <c r="B1977" t="inlineStr">
        <is>
          <t>0000100260</t>
        </is>
      </c>
      <c r="C1977" s="3" t="n">
        <v>46006</v>
      </c>
      <c r="D1977" s="3" t="n">
        <v>46051</v>
      </c>
      <c r="E1977" s="4" t="n">
        <v>2943.97</v>
      </c>
      <c r="F1977">
        <f>Summary!$B$3-D1977</f>
        <v/>
      </c>
      <c r="G1977">
        <f>IF(D1977&gt;Summary!$B$3,"Current",IF(F1977&lt;=30,"0-30",IF(F1977&lt;=60,"31-60",IF(F1977&lt;=90,"61-90","90+"))))</f>
        <v/>
      </c>
    </row>
    <row r="1978">
      <c r="A1978" t="inlineStr">
        <is>
          <t>0009029230</t>
        </is>
      </c>
      <c r="B1978" t="inlineStr">
        <is>
          <t>0000100227</t>
        </is>
      </c>
      <c r="C1978" s="3" t="n">
        <v>46008</v>
      </c>
      <c r="D1978" s="3" t="n">
        <v>46038</v>
      </c>
      <c r="E1978" s="4" t="n">
        <v>600.03</v>
      </c>
      <c r="F1978">
        <f>Summary!$B$3-D1978</f>
        <v/>
      </c>
      <c r="G1978">
        <f>IF(D1978&gt;Summary!$B$3,"Current",IF(F1978&lt;=30,"0-30",IF(F1978&lt;=60,"31-60",IF(F1978&lt;=90,"61-90","90+"))))</f>
        <v/>
      </c>
    </row>
    <row r="1979">
      <c r="A1979" t="inlineStr">
        <is>
          <t>0009029231</t>
        </is>
      </c>
      <c r="B1979" t="inlineStr">
        <is>
          <t>0000100409</t>
        </is>
      </c>
      <c r="C1979" s="3" t="n">
        <v>46007</v>
      </c>
      <c r="D1979" s="3" t="n">
        <v>46037</v>
      </c>
      <c r="E1979" s="4" t="n">
        <v>236.52</v>
      </c>
      <c r="F1979">
        <f>Summary!$B$3-D1979</f>
        <v/>
      </c>
      <c r="G1979">
        <f>IF(D1979&gt;Summary!$B$3,"Current",IF(F1979&lt;=30,"0-30",IF(F1979&lt;=60,"31-60",IF(F1979&lt;=90,"61-90","90+"))))</f>
        <v/>
      </c>
    </row>
    <row r="1980">
      <c r="A1980" t="inlineStr">
        <is>
          <t>0009029232</t>
        </is>
      </c>
      <c r="B1980" t="inlineStr">
        <is>
          <t>0000100291</t>
        </is>
      </c>
      <c r="C1980" s="3" t="n">
        <v>46006</v>
      </c>
      <c r="D1980" s="3" t="n">
        <v>46066</v>
      </c>
      <c r="E1980" s="4" t="n">
        <v>2129.43</v>
      </c>
      <c r="F1980">
        <f>Summary!$B$3-D1980</f>
        <v/>
      </c>
      <c r="G1980">
        <f>IF(D1980&gt;Summary!$B$3,"Current",IF(F1980&lt;=30,"0-30",IF(F1980&lt;=60,"31-60",IF(F1980&lt;=90,"61-90","90+"))))</f>
        <v/>
      </c>
    </row>
    <row r="1981">
      <c r="A1981" t="inlineStr">
        <is>
          <t>0009029233</t>
        </is>
      </c>
      <c r="B1981" t="inlineStr">
        <is>
          <t>0000100185</t>
        </is>
      </c>
      <c r="C1981" s="3" t="n">
        <v>46010</v>
      </c>
      <c r="D1981" s="3" t="n">
        <v>46040</v>
      </c>
      <c r="E1981" s="4" t="n">
        <v>220.26</v>
      </c>
      <c r="F1981">
        <f>Summary!$B$3-D1981</f>
        <v/>
      </c>
      <c r="G1981">
        <f>IF(D1981&gt;Summary!$B$3,"Current",IF(F1981&lt;=30,"0-30",IF(F1981&lt;=60,"31-60",IF(F1981&lt;=90,"61-90","90+"))))</f>
        <v/>
      </c>
    </row>
    <row r="1982">
      <c r="A1982" t="inlineStr">
        <is>
          <t>0009029235</t>
        </is>
      </c>
      <c r="B1982" t="inlineStr">
        <is>
          <t>0000100539</t>
        </is>
      </c>
      <c r="C1982" s="3" t="n">
        <v>46008</v>
      </c>
      <c r="D1982" s="3" t="n">
        <v>46053</v>
      </c>
      <c r="E1982" s="4" t="n">
        <v>1486.51</v>
      </c>
      <c r="F1982">
        <f>Summary!$B$3-D1982</f>
        <v/>
      </c>
      <c r="G1982">
        <f>IF(D1982&gt;Summary!$B$3,"Current",IF(F1982&lt;=30,"0-30",IF(F1982&lt;=60,"31-60",IF(F1982&lt;=90,"61-90","90+"))))</f>
        <v/>
      </c>
    </row>
    <row r="1983">
      <c r="A1983" t="inlineStr">
        <is>
          <t>0009029236</t>
        </is>
      </c>
      <c r="B1983" t="inlineStr">
        <is>
          <t>0000100013</t>
        </is>
      </c>
      <c r="C1983" s="3" t="n">
        <v>46007</v>
      </c>
      <c r="D1983" s="3" t="n">
        <v>46067</v>
      </c>
      <c r="E1983" s="4" t="n">
        <v>915.12</v>
      </c>
      <c r="F1983">
        <f>Summary!$B$3-D1983</f>
        <v/>
      </c>
      <c r="G1983">
        <f>IF(D1983&gt;Summary!$B$3,"Current",IF(F1983&lt;=30,"0-30",IF(F1983&lt;=60,"31-60",IF(F1983&lt;=90,"61-90","90+"))))</f>
        <v/>
      </c>
    </row>
    <row r="1984">
      <c r="A1984" t="inlineStr">
        <is>
          <t>0009029237</t>
        </is>
      </c>
      <c r="B1984" t="inlineStr">
        <is>
          <t>0000100539</t>
        </is>
      </c>
      <c r="C1984" s="3" t="n">
        <v>46010</v>
      </c>
      <c r="D1984" s="3" t="n">
        <v>46055</v>
      </c>
      <c r="E1984" s="4" t="n">
        <v>1843.11</v>
      </c>
      <c r="F1984">
        <f>Summary!$B$3-D1984</f>
        <v/>
      </c>
      <c r="G1984">
        <f>IF(D1984&gt;Summary!$B$3,"Current",IF(F1984&lt;=30,"0-30",IF(F1984&lt;=60,"31-60",IF(F1984&lt;=90,"61-90","90+"))))</f>
        <v/>
      </c>
    </row>
    <row r="1985">
      <c r="A1985" t="inlineStr">
        <is>
          <t>0009029238</t>
        </is>
      </c>
      <c r="B1985" t="inlineStr">
        <is>
          <t>0000100091</t>
        </is>
      </c>
      <c r="C1985" s="3" t="n">
        <v>46005</v>
      </c>
      <c r="D1985" s="3" t="n">
        <v>46065</v>
      </c>
      <c r="E1985" s="4" t="n">
        <v>236.18</v>
      </c>
      <c r="F1985">
        <f>Summary!$B$3-D1985</f>
        <v/>
      </c>
      <c r="G1985">
        <f>IF(D1985&gt;Summary!$B$3,"Current",IF(F1985&lt;=30,"0-30",IF(F1985&lt;=60,"31-60",IF(F1985&lt;=90,"61-90","90+"))))</f>
        <v/>
      </c>
    </row>
    <row r="1986">
      <c r="A1986" t="inlineStr">
        <is>
          <t>0009029239</t>
        </is>
      </c>
      <c r="B1986" t="inlineStr">
        <is>
          <t>0000100465</t>
        </is>
      </c>
      <c r="C1986" s="3" t="n">
        <v>46009</v>
      </c>
      <c r="D1986" s="3" t="n">
        <v>46069</v>
      </c>
      <c r="E1986" s="4" t="n">
        <v>61.64</v>
      </c>
      <c r="F1986">
        <f>Summary!$B$3-D1986</f>
        <v/>
      </c>
      <c r="G1986">
        <f>IF(D1986&gt;Summary!$B$3,"Current",IF(F1986&lt;=30,"0-30",IF(F1986&lt;=60,"31-60",IF(F1986&lt;=90,"61-90","90+"))))</f>
        <v/>
      </c>
    </row>
    <row r="1987">
      <c r="A1987" t="inlineStr">
        <is>
          <t>0009029240</t>
        </is>
      </c>
      <c r="B1987" t="inlineStr">
        <is>
          <t>0000100586</t>
        </is>
      </c>
      <c r="C1987" s="3" t="n">
        <v>46002</v>
      </c>
      <c r="D1987" s="3" t="n">
        <v>46032</v>
      </c>
      <c r="E1987" s="4" t="n">
        <v>1228.48</v>
      </c>
      <c r="F1987">
        <f>Summary!$B$3-D1987</f>
        <v/>
      </c>
      <c r="G1987">
        <f>IF(D1987&gt;Summary!$B$3,"Current",IF(F1987&lt;=30,"0-30",IF(F1987&lt;=60,"31-60",IF(F1987&lt;=90,"61-90","90+"))))</f>
        <v/>
      </c>
    </row>
    <row r="1988">
      <c r="A1988" t="inlineStr">
        <is>
          <t>0009029241</t>
        </is>
      </c>
      <c r="B1988" t="inlineStr">
        <is>
          <t>0000100577</t>
        </is>
      </c>
      <c r="C1988" s="3" t="n">
        <v>46006</v>
      </c>
      <c r="D1988" s="3" t="n">
        <v>46036</v>
      </c>
      <c r="E1988" s="4" t="n">
        <v>1757.75</v>
      </c>
      <c r="F1988">
        <f>Summary!$B$3-D1988</f>
        <v/>
      </c>
      <c r="G1988">
        <f>IF(D1988&gt;Summary!$B$3,"Current",IF(F1988&lt;=30,"0-30",IF(F1988&lt;=60,"31-60",IF(F1988&lt;=90,"61-90","90+"))))</f>
        <v/>
      </c>
    </row>
    <row r="1989">
      <c r="A1989" t="inlineStr">
        <is>
          <t>0009029242</t>
        </is>
      </c>
      <c r="B1989" t="inlineStr">
        <is>
          <t>0000100465</t>
        </is>
      </c>
      <c r="C1989" s="3" t="n">
        <v>46013</v>
      </c>
      <c r="D1989" s="3" t="n">
        <v>46073</v>
      </c>
      <c r="E1989" s="4" t="n">
        <v>2344.86</v>
      </c>
      <c r="F1989">
        <f>Summary!$B$3-D1989</f>
        <v/>
      </c>
      <c r="G1989">
        <f>IF(D1989&gt;Summary!$B$3,"Current",IF(F1989&lt;=30,"0-30",IF(F1989&lt;=60,"31-60",IF(F1989&lt;=90,"61-90","90+"))))</f>
        <v/>
      </c>
    </row>
    <row r="1990">
      <c r="A1990" t="inlineStr">
        <is>
          <t>0009029243</t>
        </is>
      </c>
      <c r="B1990" t="inlineStr">
        <is>
          <t>0000100272</t>
        </is>
      </c>
      <c r="C1990" s="3" t="n">
        <v>46007</v>
      </c>
      <c r="D1990" s="3" t="n">
        <v>46067</v>
      </c>
      <c r="E1990" s="4" t="n">
        <v>313.89</v>
      </c>
      <c r="F1990">
        <f>Summary!$B$3-D1990</f>
        <v/>
      </c>
      <c r="G1990">
        <f>IF(D1990&gt;Summary!$B$3,"Current",IF(F1990&lt;=30,"0-30",IF(F1990&lt;=60,"31-60",IF(F1990&lt;=90,"61-90","90+"))))</f>
        <v/>
      </c>
    </row>
    <row r="1991">
      <c r="A1991" t="inlineStr">
        <is>
          <t>0009029244</t>
        </is>
      </c>
      <c r="B1991" t="inlineStr">
        <is>
          <t>0000100360</t>
        </is>
      </c>
      <c r="C1991" s="3" t="n">
        <v>46007</v>
      </c>
      <c r="D1991" s="3" t="n">
        <v>46052</v>
      </c>
      <c r="E1991" s="4" t="n">
        <v>51.84</v>
      </c>
      <c r="F1991">
        <f>Summary!$B$3-D1991</f>
        <v/>
      </c>
      <c r="G1991">
        <f>IF(D1991&gt;Summary!$B$3,"Current",IF(F1991&lt;=30,"0-30",IF(F1991&lt;=60,"31-60",IF(F1991&lt;=90,"61-90","90+"))))</f>
        <v/>
      </c>
    </row>
    <row r="1992">
      <c r="A1992" t="inlineStr">
        <is>
          <t>0009029245</t>
        </is>
      </c>
      <c r="B1992" t="inlineStr">
        <is>
          <t>0000100265</t>
        </is>
      </c>
      <c r="C1992" s="3" t="n">
        <v>46013</v>
      </c>
      <c r="D1992" s="3" t="n">
        <v>46073</v>
      </c>
      <c r="E1992" s="4" t="n">
        <v>404.54</v>
      </c>
      <c r="F1992">
        <f>Summary!$B$3-D1992</f>
        <v/>
      </c>
      <c r="G1992">
        <f>IF(D1992&gt;Summary!$B$3,"Current",IF(F1992&lt;=30,"0-30",IF(F1992&lt;=60,"31-60",IF(F1992&lt;=90,"61-90","90+"))))</f>
        <v/>
      </c>
    </row>
    <row r="1993">
      <c r="A1993" t="inlineStr">
        <is>
          <t>0009029246</t>
        </is>
      </c>
      <c r="B1993" t="inlineStr">
        <is>
          <t>0000100405</t>
        </is>
      </c>
      <c r="C1993" s="3" t="n">
        <v>46009</v>
      </c>
      <c r="D1993" s="3" t="n">
        <v>46039</v>
      </c>
      <c r="E1993" s="4" t="n">
        <v>986.45</v>
      </c>
      <c r="F1993">
        <f>Summary!$B$3-D1993</f>
        <v/>
      </c>
      <c r="G1993">
        <f>IF(D1993&gt;Summary!$B$3,"Current",IF(F1993&lt;=30,"0-30",IF(F1993&lt;=60,"31-60",IF(F1993&lt;=90,"61-90","90+"))))</f>
        <v/>
      </c>
    </row>
    <row r="1994">
      <c r="A1994" t="inlineStr">
        <is>
          <t>0009029247</t>
        </is>
      </c>
      <c r="B1994" t="inlineStr">
        <is>
          <t>0000100416</t>
        </is>
      </c>
      <c r="C1994" s="3" t="n">
        <v>46005</v>
      </c>
      <c r="D1994" s="3" t="n">
        <v>46050</v>
      </c>
      <c r="E1994" s="4" t="n">
        <v>1219.41</v>
      </c>
      <c r="F1994">
        <f>Summary!$B$3-D1994</f>
        <v/>
      </c>
      <c r="G1994">
        <f>IF(D1994&gt;Summary!$B$3,"Current",IF(F1994&lt;=30,"0-30",IF(F1994&lt;=60,"31-60",IF(F1994&lt;=90,"61-90","90+"))))</f>
        <v/>
      </c>
    </row>
    <row r="1995">
      <c r="A1995" t="inlineStr">
        <is>
          <t>0009029248</t>
        </is>
      </c>
      <c r="B1995" t="inlineStr">
        <is>
          <t>0000100249</t>
        </is>
      </c>
      <c r="C1995" s="3" t="n">
        <v>46006</v>
      </c>
      <c r="D1995" s="3" t="n">
        <v>46066</v>
      </c>
      <c r="E1995" s="4" t="n">
        <v>782.74</v>
      </c>
      <c r="F1995">
        <f>Summary!$B$3-D1995</f>
        <v/>
      </c>
      <c r="G1995">
        <f>IF(D1995&gt;Summary!$B$3,"Current",IF(F1995&lt;=30,"0-30",IF(F1995&lt;=60,"31-60",IF(F1995&lt;=90,"61-90","90+"))))</f>
        <v/>
      </c>
    </row>
    <row r="1996">
      <c r="A1996" t="inlineStr">
        <is>
          <t>0009029249</t>
        </is>
      </c>
      <c r="B1996" t="inlineStr">
        <is>
          <t>0000100521</t>
        </is>
      </c>
      <c r="C1996" s="3" t="n">
        <v>46007</v>
      </c>
      <c r="D1996" s="3" t="n">
        <v>46037</v>
      </c>
      <c r="E1996" s="4" t="n">
        <v>311.71</v>
      </c>
      <c r="F1996">
        <f>Summary!$B$3-D1996</f>
        <v/>
      </c>
      <c r="G1996">
        <f>IF(D1996&gt;Summary!$B$3,"Current",IF(F1996&lt;=30,"0-30",IF(F1996&lt;=60,"31-60",IF(F1996&lt;=90,"61-90","90+"))))</f>
        <v/>
      </c>
    </row>
    <row r="1997">
      <c r="A1997" t="inlineStr">
        <is>
          <t>0009029250</t>
        </is>
      </c>
      <c r="B1997" t="inlineStr">
        <is>
          <t>0000100410</t>
        </is>
      </c>
      <c r="C1997" s="3" t="n">
        <v>46007</v>
      </c>
      <c r="D1997" s="3" t="n">
        <v>46052</v>
      </c>
      <c r="E1997" s="4" t="n">
        <v>4415.53</v>
      </c>
      <c r="F1997">
        <f>Summary!$B$3-D1997</f>
        <v/>
      </c>
      <c r="G1997">
        <f>IF(D1997&gt;Summary!$B$3,"Current",IF(F1997&lt;=30,"0-30",IF(F1997&lt;=60,"31-60",IF(F1997&lt;=90,"61-90","90+"))))</f>
        <v/>
      </c>
    </row>
    <row r="1998">
      <c r="A1998" t="inlineStr">
        <is>
          <t>0009029251</t>
        </is>
      </c>
      <c r="B1998" t="inlineStr">
        <is>
          <t>0000100262</t>
        </is>
      </c>
      <c r="C1998" s="3" t="n">
        <v>46010</v>
      </c>
      <c r="D1998" s="3" t="n">
        <v>46055</v>
      </c>
      <c r="E1998" s="4" t="n">
        <v>3466.99</v>
      </c>
      <c r="F1998">
        <f>Summary!$B$3-D1998</f>
        <v/>
      </c>
      <c r="G1998">
        <f>IF(D1998&gt;Summary!$B$3,"Current",IF(F1998&lt;=30,"0-30",IF(F1998&lt;=60,"31-60",IF(F1998&lt;=90,"61-90","90+"))))</f>
        <v/>
      </c>
    </row>
    <row r="1999">
      <c r="A1999" t="inlineStr">
        <is>
          <t>0009029252</t>
        </is>
      </c>
      <c r="B1999" t="inlineStr">
        <is>
          <t>0000100073</t>
        </is>
      </c>
      <c r="C1999" s="3" t="n">
        <v>46007</v>
      </c>
      <c r="D1999" s="3" t="n">
        <v>46052</v>
      </c>
      <c r="E1999" s="4" t="n">
        <v>978.55</v>
      </c>
      <c r="F1999">
        <f>Summary!$B$3-D1999</f>
        <v/>
      </c>
      <c r="G1999">
        <f>IF(D1999&gt;Summary!$B$3,"Current",IF(F1999&lt;=30,"0-30",IF(F1999&lt;=60,"31-60",IF(F1999&lt;=90,"61-90","90+"))))</f>
        <v/>
      </c>
    </row>
    <row r="2000">
      <c r="A2000" t="inlineStr">
        <is>
          <t>0009029253</t>
        </is>
      </c>
      <c r="B2000" t="inlineStr">
        <is>
          <t>0000100577</t>
        </is>
      </c>
      <c r="C2000" s="3" t="n">
        <v>46008</v>
      </c>
      <c r="D2000" s="3" t="n">
        <v>46038</v>
      </c>
      <c r="E2000" s="4" t="n">
        <v>447.28</v>
      </c>
      <c r="F2000">
        <f>Summary!$B$3-D2000</f>
        <v/>
      </c>
      <c r="G2000">
        <f>IF(D2000&gt;Summary!$B$3,"Current",IF(F2000&lt;=30,"0-30",IF(F2000&lt;=60,"31-60",IF(F2000&lt;=90,"61-90","90+"))))</f>
        <v/>
      </c>
    </row>
    <row r="2001">
      <c r="A2001" t="inlineStr">
        <is>
          <t>0009029254</t>
        </is>
      </c>
      <c r="B2001" t="inlineStr">
        <is>
          <t>0000100372</t>
        </is>
      </c>
      <c r="C2001" s="3" t="n">
        <v>46005</v>
      </c>
      <c r="D2001" s="3" t="n">
        <v>46035</v>
      </c>
      <c r="E2001" s="4" t="n">
        <v>641.9299999999999</v>
      </c>
      <c r="F2001">
        <f>Summary!$B$3-D2001</f>
        <v/>
      </c>
      <c r="G2001">
        <f>IF(D2001&gt;Summary!$B$3,"Current",IF(F2001&lt;=30,"0-30",IF(F2001&lt;=60,"31-60",IF(F2001&lt;=90,"61-90","90+"))))</f>
        <v/>
      </c>
    </row>
    <row r="2002">
      <c r="A2002" t="inlineStr">
        <is>
          <t>0009029255</t>
        </is>
      </c>
      <c r="B2002" t="inlineStr">
        <is>
          <t>0000100576</t>
        </is>
      </c>
      <c r="C2002" s="3" t="n">
        <v>46011</v>
      </c>
      <c r="D2002" s="3" t="n">
        <v>46041</v>
      </c>
      <c r="E2002" s="4" t="n">
        <v>845.66</v>
      </c>
      <c r="F2002">
        <f>Summary!$B$3-D2002</f>
        <v/>
      </c>
      <c r="G2002">
        <f>IF(D2002&gt;Summary!$B$3,"Current",IF(F2002&lt;=30,"0-30",IF(F2002&lt;=60,"31-60",IF(F2002&lt;=90,"61-90","90+"))))</f>
        <v/>
      </c>
    </row>
    <row r="2003">
      <c r="A2003" t="inlineStr">
        <is>
          <t>0009029256</t>
        </is>
      </c>
      <c r="B2003" t="inlineStr">
        <is>
          <t>0000100537</t>
        </is>
      </c>
      <c r="C2003" s="3" t="n">
        <v>46004</v>
      </c>
      <c r="D2003" s="3" t="n">
        <v>46034</v>
      </c>
      <c r="E2003" s="4" t="n">
        <v>831.36</v>
      </c>
      <c r="F2003">
        <f>Summary!$B$3-D2003</f>
        <v/>
      </c>
      <c r="G2003">
        <f>IF(D2003&gt;Summary!$B$3,"Current",IF(F2003&lt;=30,"0-30",IF(F2003&lt;=60,"31-60",IF(F2003&lt;=90,"61-90","90+"))))</f>
        <v/>
      </c>
    </row>
    <row r="2004">
      <c r="A2004" t="inlineStr">
        <is>
          <t>0009029257</t>
        </is>
      </c>
      <c r="B2004" t="inlineStr">
        <is>
          <t>0000100222</t>
        </is>
      </c>
      <c r="C2004" s="3" t="n">
        <v>46005</v>
      </c>
      <c r="D2004" s="3" t="n">
        <v>46035</v>
      </c>
      <c r="E2004" s="4" t="n">
        <v>811.47</v>
      </c>
      <c r="F2004">
        <f>Summary!$B$3-D2004</f>
        <v/>
      </c>
      <c r="G2004">
        <f>IF(D2004&gt;Summary!$B$3,"Current",IF(F2004&lt;=30,"0-30",IF(F2004&lt;=60,"31-60",IF(F2004&lt;=90,"61-90","90+"))))</f>
        <v/>
      </c>
    </row>
    <row r="2005">
      <c r="A2005" t="inlineStr">
        <is>
          <t>0009029258</t>
        </is>
      </c>
      <c r="B2005" t="inlineStr">
        <is>
          <t>0000100007</t>
        </is>
      </c>
      <c r="C2005" s="3" t="n">
        <v>46008</v>
      </c>
      <c r="D2005" s="3" t="n">
        <v>46038</v>
      </c>
      <c r="E2005" s="4" t="n">
        <v>941.4299999999999</v>
      </c>
      <c r="F2005">
        <f>Summary!$B$3-D2005</f>
        <v/>
      </c>
      <c r="G2005">
        <f>IF(D2005&gt;Summary!$B$3,"Current",IF(F2005&lt;=30,"0-30",IF(F2005&lt;=60,"31-60",IF(F2005&lt;=90,"61-90","90+"))))</f>
        <v/>
      </c>
    </row>
    <row r="2006">
      <c r="A2006" t="inlineStr">
        <is>
          <t>0009029259</t>
        </is>
      </c>
      <c r="B2006" t="inlineStr">
        <is>
          <t>0000100386</t>
        </is>
      </c>
      <c r="C2006" s="3" t="n">
        <v>46010</v>
      </c>
      <c r="D2006" s="3" t="n">
        <v>46040</v>
      </c>
      <c r="E2006" s="4" t="n">
        <v>686.52</v>
      </c>
      <c r="F2006">
        <f>Summary!$B$3-D2006</f>
        <v/>
      </c>
      <c r="G2006">
        <f>IF(D2006&gt;Summary!$B$3,"Current",IF(F2006&lt;=30,"0-30",IF(F2006&lt;=60,"31-60",IF(F2006&lt;=90,"61-90","90+"))))</f>
        <v/>
      </c>
    </row>
    <row r="2007">
      <c r="A2007" t="inlineStr">
        <is>
          <t>0009029260</t>
        </is>
      </c>
      <c r="B2007" t="inlineStr">
        <is>
          <t>0000100593</t>
        </is>
      </c>
      <c r="C2007" s="3" t="n">
        <v>46005</v>
      </c>
      <c r="D2007" s="3" t="n">
        <v>46065</v>
      </c>
      <c r="E2007" s="4" t="n">
        <v>2076.28</v>
      </c>
      <c r="F2007">
        <f>Summary!$B$3-D2007</f>
        <v/>
      </c>
      <c r="G2007">
        <f>IF(D2007&gt;Summary!$B$3,"Current",IF(F2007&lt;=30,"0-30",IF(F2007&lt;=60,"31-60",IF(F2007&lt;=90,"61-90","90+"))))</f>
        <v/>
      </c>
    </row>
    <row r="2008">
      <c r="A2008" t="inlineStr">
        <is>
          <t>0009029261</t>
        </is>
      </c>
      <c r="B2008" t="inlineStr">
        <is>
          <t>0000100434</t>
        </is>
      </c>
      <c r="C2008" s="3" t="n">
        <v>46007</v>
      </c>
      <c r="D2008" s="3" t="n">
        <v>46037</v>
      </c>
      <c r="E2008" s="4" t="n">
        <v>837.36</v>
      </c>
      <c r="F2008">
        <f>Summary!$B$3-D2008</f>
        <v/>
      </c>
      <c r="G2008">
        <f>IF(D2008&gt;Summary!$B$3,"Current",IF(F2008&lt;=30,"0-30",IF(F2008&lt;=60,"31-60",IF(F2008&lt;=90,"61-90","90+"))))</f>
        <v/>
      </c>
    </row>
    <row r="2009">
      <c r="A2009" t="inlineStr">
        <is>
          <t>0009029262</t>
        </is>
      </c>
      <c r="B2009" t="inlineStr">
        <is>
          <t>0000100314</t>
        </is>
      </c>
      <c r="C2009" s="3" t="n">
        <v>46011</v>
      </c>
      <c r="D2009" s="3" t="n">
        <v>46071</v>
      </c>
      <c r="E2009" s="4" t="n">
        <v>179.82</v>
      </c>
      <c r="F2009">
        <f>Summary!$B$3-D2009</f>
        <v/>
      </c>
      <c r="G2009">
        <f>IF(D2009&gt;Summary!$B$3,"Current",IF(F2009&lt;=30,"0-30",IF(F2009&lt;=60,"31-60",IF(F2009&lt;=90,"61-90","90+"))))</f>
        <v/>
      </c>
    </row>
    <row r="2010">
      <c r="A2010" t="inlineStr">
        <is>
          <t>0009029263</t>
        </is>
      </c>
      <c r="B2010" t="inlineStr">
        <is>
          <t>0000100499</t>
        </is>
      </c>
      <c r="C2010" s="3" t="n">
        <v>46004</v>
      </c>
      <c r="D2010" s="3" t="n">
        <v>46034</v>
      </c>
      <c r="E2010" s="4" t="n">
        <v>1571.36</v>
      </c>
      <c r="F2010">
        <f>Summary!$B$3-D2010</f>
        <v/>
      </c>
      <c r="G2010">
        <f>IF(D2010&gt;Summary!$B$3,"Current",IF(F2010&lt;=30,"0-30",IF(F2010&lt;=60,"31-60",IF(F2010&lt;=90,"61-90","90+"))))</f>
        <v/>
      </c>
    </row>
    <row r="2011">
      <c r="A2011" t="inlineStr">
        <is>
          <t>0009029264</t>
        </is>
      </c>
      <c r="B2011" t="inlineStr">
        <is>
          <t>0000100164</t>
        </is>
      </c>
      <c r="C2011" s="3" t="n">
        <v>46004</v>
      </c>
      <c r="D2011" s="3" t="n">
        <v>46064</v>
      </c>
      <c r="E2011" s="4" t="n">
        <v>961.59</v>
      </c>
      <c r="F2011">
        <f>Summary!$B$3-D2011</f>
        <v/>
      </c>
      <c r="G2011">
        <f>IF(D2011&gt;Summary!$B$3,"Current",IF(F2011&lt;=30,"0-30",IF(F2011&lt;=60,"31-60",IF(F2011&lt;=90,"61-90","90+"))))</f>
        <v/>
      </c>
    </row>
    <row r="2012">
      <c r="A2012" t="inlineStr">
        <is>
          <t>0009029265</t>
        </is>
      </c>
      <c r="B2012" t="inlineStr">
        <is>
          <t>0000100007</t>
        </is>
      </c>
      <c r="C2012" s="3" t="n">
        <v>46009</v>
      </c>
      <c r="D2012" s="3" t="n">
        <v>46039</v>
      </c>
      <c r="E2012" s="4" t="n">
        <v>378.54</v>
      </c>
      <c r="F2012">
        <f>Summary!$B$3-D2012</f>
        <v/>
      </c>
      <c r="G2012">
        <f>IF(D2012&gt;Summary!$B$3,"Current",IF(F2012&lt;=30,"0-30",IF(F2012&lt;=60,"31-60",IF(F2012&lt;=90,"61-90","90+"))))</f>
        <v/>
      </c>
    </row>
    <row r="2013">
      <c r="A2013" t="inlineStr">
        <is>
          <t>0009029266</t>
        </is>
      </c>
      <c r="B2013" t="inlineStr">
        <is>
          <t>0000100254</t>
        </is>
      </c>
      <c r="C2013" s="3" t="n">
        <v>46005</v>
      </c>
      <c r="D2013" s="3" t="n">
        <v>46035</v>
      </c>
      <c r="E2013" s="4" t="n">
        <v>646.17</v>
      </c>
      <c r="F2013">
        <f>Summary!$B$3-D2013</f>
        <v/>
      </c>
      <c r="G2013">
        <f>IF(D2013&gt;Summary!$B$3,"Current",IF(F2013&lt;=30,"0-30",IF(F2013&lt;=60,"31-60",IF(F2013&lt;=90,"61-90","90+"))))</f>
        <v/>
      </c>
    </row>
    <row r="2014">
      <c r="A2014" t="inlineStr">
        <is>
          <t>0009029267</t>
        </is>
      </c>
      <c r="B2014" t="inlineStr">
        <is>
          <t>0000100021</t>
        </is>
      </c>
      <c r="C2014" s="3" t="n">
        <v>46012</v>
      </c>
      <c r="D2014" s="3" t="n">
        <v>46042</v>
      </c>
      <c r="E2014" s="4" t="n">
        <v>626.24</v>
      </c>
      <c r="F2014">
        <f>Summary!$B$3-D2014</f>
        <v/>
      </c>
      <c r="G2014">
        <f>IF(D2014&gt;Summary!$B$3,"Current",IF(F2014&lt;=30,"0-30",IF(F2014&lt;=60,"31-60",IF(F2014&lt;=90,"61-90","90+"))))</f>
        <v/>
      </c>
    </row>
    <row r="2015">
      <c r="A2015" t="inlineStr">
        <is>
          <t>0009029268</t>
        </is>
      </c>
      <c r="B2015" t="inlineStr">
        <is>
          <t>0000100372</t>
        </is>
      </c>
      <c r="C2015" s="3" t="n">
        <v>46005</v>
      </c>
      <c r="D2015" s="3" t="n">
        <v>46035</v>
      </c>
      <c r="E2015" s="4" t="n">
        <v>446.92</v>
      </c>
      <c r="F2015">
        <f>Summary!$B$3-D2015</f>
        <v/>
      </c>
      <c r="G2015">
        <f>IF(D2015&gt;Summary!$B$3,"Current",IF(F2015&lt;=30,"0-30",IF(F2015&lt;=60,"31-60",IF(F2015&lt;=90,"61-90","90+"))))</f>
        <v/>
      </c>
    </row>
    <row r="2016">
      <c r="A2016" t="inlineStr">
        <is>
          <t>0009029270</t>
        </is>
      </c>
      <c r="B2016" t="inlineStr">
        <is>
          <t>0000100581</t>
        </is>
      </c>
      <c r="C2016" s="3" t="n">
        <v>46011</v>
      </c>
      <c r="D2016" s="3" t="n">
        <v>46041</v>
      </c>
      <c r="E2016" s="4" t="n">
        <v>1370.3</v>
      </c>
      <c r="F2016">
        <f>Summary!$B$3-D2016</f>
        <v/>
      </c>
      <c r="G2016">
        <f>IF(D2016&gt;Summary!$B$3,"Current",IF(F2016&lt;=30,"0-30",IF(F2016&lt;=60,"31-60",IF(F2016&lt;=90,"61-90","90+"))))</f>
        <v/>
      </c>
    </row>
    <row r="2017">
      <c r="A2017" t="inlineStr">
        <is>
          <t>0009029271</t>
        </is>
      </c>
      <c r="B2017" t="inlineStr">
        <is>
          <t>0000100516</t>
        </is>
      </c>
      <c r="C2017" s="3" t="n">
        <v>46008</v>
      </c>
      <c r="D2017" s="3" t="n">
        <v>46038</v>
      </c>
      <c r="E2017" s="4" t="n">
        <v>1303.48</v>
      </c>
      <c r="F2017">
        <f>Summary!$B$3-D2017</f>
        <v/>
      </c>
      <c r="G2017">
        <f>IF(D2017&gt;Summary!$B$3,"Current",IF(F2017&lt;=30,"0-30",IF(F2017&lt;=60,"31-60",IF(F2017&lt;=90,"61-90","90+"))))</f>
        <v/>
      </c>
    </row>
    <row r="2018">
      <c r="A2018" t="inlineStr">
        <is>
          <t>0009029272</t>
        </is>
      </c>
      <c r="B2018" t="inlineStr">
        <is>
          <t>0000100102</t>
        </is>
      </c>
      <c r="C2018" s="3" t="n">
        <v>46010</v>
      </c>
      <c r="D2018" s="3" t="n">
        <v>46040</v>
      </c>
      <c r="E2018" s="4" t="n">
        <v>143.93</v>
      </c>
      <c r="F2018">
        <f>Summary!$B$3-D2018</f>
        <v/>
      </c>
      <c r="G2018">
        <f>IF(D2018&gt;Summary!$B$3,"Current",IF(F2018&lt;=30,"0-30",IF(F2018&lt;=60,"31-60",IF(F2018&lt;=90,"61-90","90+"))))</f>
        <v/>
      </c>
    </row>
    <row r="2019">
      <c r="A2019" t="inlineStr">
        <is>
          <t>0009029273</t>
        </is>
      </c>
      <c r="B2019" t="inlineStr">
        <is>
          <t>0000100362</t>
        </is>
      </c>
      <c r="C2019" s="3" t="n">
        <v>46011</v>
      </c>
      <c r="D2019" s="3" t="n">
        <v>46041</v>
      </c>
      <c r="E2019" s="4" t="n">
        <v>1032.16</v>
      </c>
      <c r="F2019">
        <f>Summary!$B$3-D2019</f>
        <v/>
      </c>
      <c r="G2019">
        <f>IF(D2019&gt;Summary!$B$3,"Current",IF(F2019&lt;=30,"0-30",IF(F2019&lt;=60,"31-60",IF(F2019&lt;=90,"61-90","90+"))))</f>
        <v/>
      </c>
    </row>
    <row r="2020">
      <c r="A2020" t="inlineStr">
        <is>
          <t>0009029276</t>
        </is>
      </c>
      <c r="B2020" t="inlineStr">
        <is>
          <t>0000100083</t>
        </is>
      </c>
      <c r="C2020" s="3" t="n">
        <v>46011</v>
      </c>
      <c r="D2020" s="3" t="n">
        <v>46041</v>
      </c>
      <c r="E2020" s="4" t="n">
        <v>89.08</v>
      </c>
      <c r="F2020">
        <f>Summary!$B$3-D2020</f>
        <v/>
      </c>
      <c r="G2020">
        <f>IF(D2020&gt;Summary!$B$3,"Current",IF(F2020&lt;=30,"0-30",IF(F2020&lt;=60,"31-60",IF(F2020&lt;=90,"61-90","90+"))))</f>
        <v/>
      </c>
    </row>
    <row r="2021">
      <c r="A2021" t="inlineStr">
        <is>
          <t>0009029277</t>
        </is>
      </c>
      <c r="B2021" t="inlineStr">
        <is>
          <t>0000100056</t>
        </is>
      </c>
      <c r="C2021" s="3" t="n">
        <v>46003</v>
      </c>
      <c r="D2021" s="3" t="n">
        <v>46063</v>
      </c>
      <c r="E2021" s="4" t="n">
        <v>162.4</v>
      </c>
      <c r="F2021">
        <f>Summary!$B$3-D2021</f>
        <v/>
      </c>
      <c r="G2021">
        <f>IF(D2021&gt;Summary!$B$3,"Current",IF(F2021&lt;=30,"0-30",IF(F2021&lt;=60,"31-60",IF(F2021&lt;=90,"61-90","90+"))))</f>
        <v/>
      </c>
    </row>
    <row r="2022">
      <c r="A2022" t="inlineStr">
        <is>
          <t>0009029278</t>
        </is>
      </c>
      <c r="B2022" t="inlineStr">
        <is>
          <t>0000100504</t>
        </is>
      </c>
      <c r="C2022" s="3" t="n">
        <v>46010</v>
      </c>
      <c r="D2022" s="3" t="n">
        <v>46040</v>
      </c>
      <c r="E2022" s="4" t="n">
        <v>431.79</v>
      </c>
      <c r="F2022">
        <f>Summary!$B$3-D2022</f>
        <v/>
      </c>
      <c r="G2022">
        <f>IF(D2022&gt;Summary!$B$3,"Current",IF(F2022&lt;=30,"0-30",IF(F2022&lt;=60,"31-60",IF(F2022&lt;=90,"61-90","90+"))))</f>
        <v/>
      </c>
    </row>
    <row r="2023">
      <c r="A2023" t="inlineStr">
        <is>
          <t>0009029279</t>
        </is>
      </c>
      <c r="B2023" t="inlineStr">
        <is>
          <t>0000100423</t>
        </is>
      </c>
      <c r="C2023" s="3" t="n">
        <v>46009</v>
      </c>
      <c r="D2023" s="3" t="n">
        <v>46054</v>
      </c>
      <c r="E2023" s="4" t="n">
        <v>333.31</v>
      </c>
      <c r="F2023">
        <f>Summary!$B$3-D2023</f>
        <v/>
      </c>
      <c r="G2023">
        <f>IF(D2023&gt;Summary!$B$3,"Current",IF(F2023&lt;=30,"0-30",IF(F2023&lt;=60,"31-60",IF(F2023&lt;=90,"61-90","90+"))))</f>
        <v/>
      </c>
    </row>
    <row r="2024">
      <c r="A2024" t="inlineStr">
        <is>
          <t>0009029280</t>
        </is>
      </c>
      <c r="B2024" t="inlineStr">
        <is>
          <t>0000100324</t>
        </is>
      </c>
      <c r="C2024" s="3" t="n">
        <v>46013</v>
      </c>
      <c r="D2024" s="3" t="n">
        <v>46043</v>
      </c>
      <c r="E2024" s="4" t="n">
        <v>343.47</v>
      </c>
      <c r="F2024">
        <f>Summary!$B$3-D2024</f>
        <v/>
      </c>
      <c r="G2024">
        <f>IF(D2024&gt;Summary!$B$3,"Current",IF(F2024&lt;=30,"0-30",IF(F2024&lt;=60,"31-60",IF(F2024&lt;=90,"61-90","90+"))))</f>
        <v/>
      </c>
    </row>
    <row r="2025">
      <c r="A2025" t="inlineStr">
        <is>
          <t>0009029281</t>
        </is>
      </c>
      <c r="B2025" t="inlineStr">
        <is>
          <t>0000100465</t>
        </is>
      </c>
      <c r="C2025" s="3" t="n">
        <v>46003</v>
      </c>
      <c r="D2025" s="3" t="n">
        <v>46063</v>
      </c>
      <c r="E2025" s="4" t="n">
        <v>2614.06</v>
      </c>
      <c r="F2025">
        <f>Summary!$B$3-D2025</f>
        <v/>
      </c>
      <c r="G2025">
        <f>IF(D2025&gt;Summary!$B$3,"Current",IF(F2025&lt;=30,"0-30",IF(F2025&lt;=60,"31-60",IF(F2025&lt;=90,"61-90","90+"))))</f>
        <v/>
      </c>
    </row>
    <row r="2026">
      <c r="A2026" t="inlineStr">
        <is>
          <t>0009029282</t>
        </is>
      </c>
      <c r="B2026" t="inlineStr">
        <is>
          <t>0000100546</t>
        </is>
      </c>
      <c r="C2026" s="3" t="n">
        <v>46006</v>
      </c>
      <c r="D2026" s="3" t="n">
        <v>46051</v>
      </c>
      <c r="E2026" s="4" t="n">
        <v>174.47</v>
      </c>
      <c r="F2026">
        <f>Summary!$B$3-D2026</f>
        <v/>
      </c>
      <c r="G2026">
        <f>IF(D2026&gt;Summary!$B$3,"Current",IF(F2026&lt;=30,"0-30",IF(F2026&lt;=60,"31-60",IF(F2026&lt;=90,"61-90","90+"))))</f>
        <v/>
      </c>
    </row>
    <row r="2027">
      <c r="A2027" t="inlineStr">
        <is>
          <t>0009029283</t>
        </is>
      </c>
      <c r="B2027" t="inlineStr">
        <is>
          <t>0000100019</t>
        </is>
      </c>
      <c r="C2027" s="3" t="n">
        <v>46011</v>
      </c>
      <c r="D2027" s="3" t="n">
        <v>46041</v>
      </c>
      <c r="E2027" s="4" t="n">
        <v>1114.06</v>
      </c>
      <c r="F2027">
        <f>Summary!$B$3-D2027</f>
        <v/>
      </c>
      <c r="G2027">
        <f>IF(D2027&gt;Summary!$B$3,"Current",IF(F2027&lt;=30,"0-30",IF(F2027&lt;=60,"31-60",IF(F2027&lt;=90,"61-90","90+"))))</f>
        <v/>
      </c>
    </row>
    <row r="2028">
      <c r="A2028" t="inlineStr">
        <is>
          <t>0009029284</t>
        </is>
      </c>
      <c r="B2028" t="inlineStr">
        <is>
          <t>0000100243</t>
        </is>
      </c>
      <c r="C2028" s="3" t="n">
        <v>46002</v>
      </c>
      <c r="D2028" s="3" t="n">
        <v>46032</v>
      </c>
      <c r="E2028" s="4" t="n">
        <v>189.31</v>
      </c>
      <c r="F2028">
        <f>Summary!$B$3-D2028</f>
        <v/>
      </c>
      <c r="G2028">
        <f>IF(D2028&gt;Summary!$B$3,"Current",IF(F2028&lt;=30,"0-30",IF(F2028&lt;=60,"31-60",IF(F2028&lt;=90,"61-90","90+"))))</f>
        <v/>
      </c>
    </row>
    <row r="2029">
      <c r="A2029" t="inlineStr">
        <is>
          <t>0009029285</t>
        </is>
      </c>
      <c r="B2029" t="inlineStr">
        <is>
          <t>0000100512</t>
        </is>
      </c>
      <c r="C2029" s="3" t="n">
        <v>46007</v>
      </c>
      <c r="D2029" s="3" t="n">
        <v>46052</v>
      </c>
      <c r="E2029" s="4" t="n">
        <v>674.23</v>
      </c>
      <c r="F2029">
        <f>Summary!$B$3-D2029</f>
        <v/>
      </c>
      <c r="G2029">
        <f>IF(D2029&gt;Summary!$B$3,"Current",IF(F2029&lt;=30,"0-30",IF(F2029&lt;=60,"31-60",IF(F2029&lt;=90,"61-90","90+"))))</f>
        <v/>
      </c>
    </row>
    <row r="2030">
      <c r="A2030" t="inlineStr">
        <is>
          <t>0009029287</t>
        </is>
      </c>
      <c r="B2030" t="inlineStr">
        <is>
          <t>0000100525</t>
        </is>
      </c>
      <c r="C2030" s="3" t="n">
        <v>46009</v>
      </c>
      <c r="D2030" s="3" t="n">
        <v>46054</v>
      </c>
      <c r="E2030" s="4" t="n">
        <v>6510.38</v>
      </c>
      <c r="F2030">
        <f>Summary!$B$3-D2030</f>
        <v/>
      </c>
      <c r="G2030">
        <f>IF(D2030&gt;Summary!$B$3,"Current",IF(F2030&lt;=30,"0-30",IF(F2030&lt;=60,"31-60",IF(F2030&lt;=90,"61-90","90+"))))</f>
        <v/>
      </c>
    </row>
    <row r="2031">
      <c r="A2031" t="inlineStr">
        <is>
          <t>0009029288</t>
        </is>
      </c>
      <c r="B2031" t="inlineStr">
        <is>
          <t>0000100001</t>
        </is>
      </c>
      <c r="C2031" s="3" t="n">
        <v>46011</v>
      </c>
      <c r="D2031" s="3" t="n">
        <v>46056</v>
      </c>
      <c r="E2031" s="4" t="n">
        <v>1201.43</v>
      </c>
      <c r="F2031">
        <f>Summary!$B$3-D2031</f>
        <v/>
      </c>
      <c r="G2031">
        <f>IF(D2031&gt;Summary!$B$3,"Current",IF(F2031&lt;=30,"0-30",IF(F2031&lt;=60,"31-60",IF(F2031&lt;=90,"61-90","90+"))))</f>
        <v/>
      </c>
    </row>
    <row r="2032">
      <c r="A2032" t="inlineStr">
        <is>
          <t>0009029289</t>
        </is>
      </c>
      <c r="B2032" t="inlineStr">
        <is>
          <t>0000100158</t>
        </is>
      </c>
      <c r="C2032" s="3" t="n">
        <v>46007</v>
      </c>
      <c r="D2032" s="3" t="n">
        <v>46037</v>
      </c>
      <c r="E2032" s="4" t="n">
        <v>613.03</v>
      </c>
      <c r="F2032">
        <f>Summary!$B$3-D2032</f>
        <v/>
      </c>
      <c r="G2032">
        <f>IF(D2032&gt;Summary!$B$3,"Current",IF(F2032&lt;=30,"0-30",IF(F2032&lt;=60,"31-60",IF(F2032&lt;=90,"61-90","90+"))))</f>
        <v/>
      </c>
    </row>
    <row r="2033">
      <c r="A2033" t="inlineStr">
        <is>
          <t>0009029290</t>
        </is>
      </c>
      <c r="B2033" t="inlineStr">
        <is>
          <t>0000100355</t>
        </is>
      </c>
      <c r="C2033" s="3" t="n">
        <v>46008</v>
      </c>
      <c r="D2033" s="3" t="n">
        <v>46068</v>
      </c>
      <c r="E2033" s="4" t="n">
        <v>860.92</v>
      </c>
      <c r="F2033">
        <f>Summary!$B$3-D2033</f>
        <v/>
      </c>
      <c r="G2033">
        <f>IF(D2033&gt;Summary!$B$3,"Current",IF(F2033&lt;=30,"0-30",IF(F2033&lt;=60,"31-60",IF(F2033&lt;=90,"61-90","90+"))))</f>
        <v/>
      </c>
    </row>
    <row r="2034">
      <c r="A2034" t="inlineStr">
        <is>
          <t>0009029291</t>
        </is>
      </c>
      <c r="B2034" t="inlineStr">
        <is>
          <t>0000100576</t>
        </is>
      </c>
      <c r="C2034" s="3" t="n">
        <v>46011</v>
      </c>
      <c r="D2034" s="3" t="n">
        <v>46041</v>
      </c>
      <c r="E2034" s="4" t="n">
        <v>450.93</v>
      </c>
      <c r="F2034">
        <f>Summary!$B$3-D2034</f>
        <v/>
      </c>
      <c r="G2034">
        <f>IF(D2034&gt;Summary!$B$3,"Current",IF(F2034&lt;=30,"0-30",IF(F2034&lt;=60,"31-60",IF(F2034&lt;=90,"61-90","90+"))))</f>
        <v/>
      </c>
    </row>
    <row r="2035">
      <c r="A2035" t="inlineStr">
        <is>
          <t>0009029292</t>
        </is>
      </c>
      <c r="B2035" t="inlineStr">
        <is>
          <t>0000100268</t>
        </is>
      </c>
      <c r="C2035" s="3" t="n">
        <v>46005</v>
      </c>
      <c r="D2035" s="3" t="n">
        <v>46035</v>
      </c>
      <c r="E2035" s="4" t="n">
        <v>2925.43</v>
      </c>
      <c r="F2035">
        <f>Summary!$B$3-D2035</f>
        <v/>
      </c>
      <c r="G2035">
        <f>IF(D2035&gt;Summary!$B$3,"Current",IF(F2035&lt;=30,"0-30",IF(F2035&lt;=60,"31-60",IF(F2035&lt;=90,"61-90","90+"))))</f>
        <v/>
      </c>
    </row>
    <row r="2036">
      <c r="A2036" t="inlineStr">
        <is>
          <t>0009029293</t>
        </is>
      </c>
      <c r="B2036" t="inlineStr">
        <is>
          <t>0000100279</t>
        </is>
      </c>
      <c r="C2036" s="3" t="n">
        <v>46006</v>
      </c>
      <c r="D2036" s="3" t="n">
        <v>46051</v>
      </c>
      <c r="E2036" s="4" t="n">
        <v>649.41</v>
      </c>
      <c r="F2036">
        <f>Summary!$B$3-D2036</f>
        <v/>
      </c>
      <c r="G2036">
        <f>IF(D2036&gt;Summary!$B$3,"Current",IF(F2036&lt;=30,"0-30",IF(F2036&lt;=60,"31-60",IF(F2036&lt;=90,"61-90","90+"))))</f>
        <v/>
      </c>
    </row>
    <row r="2037">
      <c r="A2037" t="inlineStr">
        <is>
          <t>0009029294</t>
        </is>
      </c>
      <c r="B2037" t="inlineStr">
        <is>
          <t>0000100015</t>
        </is>
      </c>
      <c r="C2037" s="3" t="n">
        <v>46007</v>
      </c>
      <c r="D2037" s="3" t="n">
        <v>46052</v>
      </c>
      <c r="E2037" s="4" t="n">
        <v>2027.65</v>
      </c>
      <c r="F2037">
        <f>Summary!$B$3-D2037</f>
        <v/>
      </c>
      <c r="G2037">
        <f>IF(D2037&gt;Summary!$B$3,"Current",IF(F2037&lt;=30,"0-30",IF(F2037&lt;=60,"31-60",IF(F2037&lt;=90,"61-90","90+"))))</f>
        <v/>
      </c>
    </row>
    <row r="2038">
      <c r="A2038" t="inlineStr">
        <is>
          <t>0009029295</t>
        </is>
      </c>
      <c r="B2038" t="inlineStr">
        <is>
          <t>0000100380</t>
        </is>
      </c>
      <c r="C2038" s="3" t="n">
        <v>46019</v>
      </c>
      <c r="D2038" s="3" t="n">
        <v>46079</v>
      </c>
      <c r="E2038" s="4" t="n">
        <v>393.41</v>
      </c>
      <c r="F2038">
        <f>Summary!$B$3-D2038</f>
        <v/>
      </c>
      <c r="G2038">
        <f>IF(D2038&gt;Summary!$B$3,"Current",IF(F2038&lt;=30,"0-30",IF(F2038&lt;=60,"31-60",IF(F2038&lt;=90,"61-90","90+"))))</f>
        <v/>
      </c>
    </row>
    <row r="2039">
      <c r="A2039" t="inlineStr">
        <is>
          <t>0009029296</t>
        </is>
      </c>
      <c r="B2039" t="inlineStr">
        <is>
          <t>0000100272</t>
        </is>
      </c>
      <c r="C2039" s="3" t="n">
        <v>46008</v>
      </c>
      <c r="D2039" s="3" t="n">
        <v>46068</v>
      </c>
      <c r="E2039" s="4" t="n">
        <v>1076.7</v>
      </c>
      <c r="F2039">
        <f>Summary!$B$3-D2039</f>
        <v/>
      </c>
      <c r="G2039">
        <f>IF(D2039&gt;Summary!$B$3,"Current",IF(F2039&lt;=30,"0-30",IF(F2039&lt;=60,"31-60",IF(F2039&lt;=90,"61-90","90+"))))</f>
        <v/>
      </c>
    </row>
    <row r="2040">
      <c r="A2040" t="inlineStr">
        <is>
          <t>0009029297</t>
        </is>
      </c>
      <c r="B2040" t="inlineStr">
        <is>
          <t>0000100268</t>
        </is>
      </c>
      <c r="C2040" s="3" t="n">
        <v>46007</v>
      </c>
      <c r="D2040" s="3" t="n">
        <v>46037</v>
      </c>
      <c r="E2040" s="4" t="n">
        <v>2289.83</v>
      </c>
      <c r="F2040">
        <f>Summary!$B$3-D2040</f>
        <v/>
      </c>
      <c r="G2040">
        <f>IF(D2040&gt;Summary!$B$3,"Current",IF(F2040&lt;=30,"0-30",IF(F2040&lt;=60,"31-60",IF(F2040&lt;=90,"61-90","90+"))))</f>
        <v/>
      </c>
    </row>
    <row r="2041">
      <c r="A2041" t="inlineStr">
        <is>
          <t>0009029298</t>
        </is>
      </c>
      <c r="B2041" t="inlineStr">
        <is>
          <t>0000100219</t>
        </is>
      </c>
      <c r="C2041" s="3" t="n">
        <v>46006</v>
      </c>
      <c r="D2041" s="3" t="n">
        <v>46036</v>
      </c>
      <c r="E2041" s="4" t="n">
        <v>582.9</v>
      </c>
      <c r="F2041">
        <f>Summary!$B$3-D2041</f>
        <v/>
      </c>
      <c r="G2041">
        <f>IF(D2041&gt;Summary!$B$3,"Current",IF(F2041&lt;=30,"0-30",IF(F2041&lt;=60,"31-60",IF(F2041&lt;=90,"61-90","90+"))))</f>
        <v/>
      </c>
    </row>
    <row r="2042">
      <c r="A2042" t="inlineStr">
        <is>
          <t>0009029299</t>
        </is>
      </c>
      <c r="B2042" t="inlineStr">
        <is>
          <t>0000100377</t>
        </is>
      </c>
      <c r="C2042" s="3" t="n">
        <v>46007</v>
      </c>
      <c r="D2042" s="3" t="n">
        <v>46037</v>
      </c>
      <c r="E2042" s="4" t="n">
        <v>220.96</v>
      </c>
      <c r="F2042">
        <f>Summary!$B$3-D2042</f>
        <v/>
      </c>
      <c r="G2042">
        <f>IF(D2042&gt;Summary!$B$3,"Current",IF(F2042&lt;=30,"0-30",IF(F2042&lt;=60,"31-60",IF(F2042&lt;=90,"61-90","90+"))))</f>
        <v/>
      </c>
    </row>
    <row r="2043">
      <c r="A2043" t="inlineStr">
        <is>
          <t>0009029300</t>
        </is>
      </c>
      <c r="B2043" t="inlineStr">
        <is>
          <t>0000100240</t>
        </is>
      </c>
      <c r="C2043" s="3" t="n">
        <v>46007</v>
      </c>
      <c r="D2043" s="3" t="n">
        <v>46037</v>
      </c>
      <c r="E2043" s="4" t="n">
        <v>390.32</v>
      </c>
      <c r="F2043">
        <f>Summary!$B$3-D2043</f>
        <v/>
      </c>
      <c r="G2043">
        <f>IF(D2043&gt;Summary!$B$3,"Current",IF(F2043&lt;=30,"0-30",IF(F2043&lt;=60,"31-60",IF(F2043&lt;=90,"61-90","90+"))))</f>
        <v/>
      </c>
    </row>
    <row r="2044">
      <c r="A2044" t="inlineStr">
        <is>
          <t>0009029301</t>
        </is>
      </c>
      <c r="B2044" t="inlineStr">
        <is>
          <t>0000100114</t>
        </is>
      </c>
      <c r="C2044" s="3" t="n">
        <v>46007</v>
      </c>
      <c r="D2044" s="3" t="n">
        <v>46052</v>
      </c>
      <c r="E2044" s="4" t="n">
        <v>344.96</v>
      </c>
      <c r="F2044">
        <f>Summary!$B$3-D2044</f>
        <v/>
      </c>
      <c r="G2044">
        <f>IF(D2044&gt;Summary!$B$3,"Current",IF(F2044&lt;=30,"0-30",IF(F2044&lt;=60,"31-60",IF(F2044&lt;=90,"61-90","90+"))))</f>
        <v/>
      </c>
    </row>
    <row r="2045">
      <c r="A2045" t="inlineStr">
        <is>
          <t>0009029302</t>
        </is>
      </c>
      <c r="B2045" t="inlineStr">
        <is>
          <t>0000100537</t>
        </is>
      </c>
      <c r="C2045" s="3" t="n">
        <v>46005</v>
      </c>
      <c r="D2045" s="3" t="n">
        <v>46035</v>
      </c>
      <c r="E2045" s="4" t="n">
        <v>255.3</v>
      </c>
      <c r="F2045">
        <f>Summary!$B$3-D2045</f>
        <v/>
      </c>
      <c r="G2045">
        <f>IF(D2045&gt;Summary!$B$3,"Current",IF(F2045&lt;=30,"0-30",IF(F2045&lt;=60,"31-60",IF(F2045&lt;=90,"61-90","90+"))))</f>
        <v/>
      </c>
    </row>
    <row r="2046">
      <c r="A2046" t="inlineStr">
        <is>
          <t>0009029303</t>
        </is>
      </c>
      <c r="B2046" t="inlineStr">
        <is>
          <t>0000100386</t>
        </is>
      </c>
      <c r="C2046" s="3" t="n">
        <v>46008</v>
      </c>
      <c r="D2046" s="3" t="n">
        <v>46038</v>
      </c>
      <c r="E2046" s="4" t="n">
        <v>476.24</v>
      </c>
      <c r="F2046">
        <f>Summary!$B$3-D2046</f>
        <v/>
      </c>
      <c r="G2046">
        <f>IF(D2046&gt;Summary!$B$3,"Current",IF(F2046&lt;=30,"0-30",IF(F2046&lt;=60,"31-60",IF(F2046&lt;=90,"61-90","90+"))))</f>
        <v/>
      </c>
    </row>
    <row r="2047">
      <c r="A2047" t="inlineStr">
        <is>
          <t>0009029304</t>
        </is>
      </c>
      <c r="B2047" t="inlineStr">
        <is>
          <t>0000100021</t>
        </is>
      </c>
      <c r="C2047" s="3" t="n">
        <v>46007</v>
      </c>
      <c r="D2047" s="3" t="n">
        <v>46037</v>
      </c>
      <c r="E2047" s="4" t="n">
        <v>4498.92</v>
      </c>
      <c r="F2047">
        <f>Summary!$B$3-D2047</f>
        <v/>
      </c>
      <c r="G2047">
        <f>IF(D2047&gt;Summary!$B$3,"Current",IF(F2047&lt;=30,"0-30",IF(F2047&lt;=60,"31-60",IF(F2047&lt;=90,"61-90","90+"))))</f>
        <v/>
      </c>
    </row>
    <row r="2048">
      <c r="A2048" t="inlineStr">
        <is>
          <t>0009029305</t>
        </is>
      </c>
      <c r="B2048" t="inlineStr">
        <is>
          <t>0000100386</t>
        </is>
      </c>
      <c r="C2048" s="3" t="n">
        <v>46005</v>
      </c>
      <c r="D2048" s="3" t="n">
        <v>46035</v>
      </c>
      <c r="E2048" s="4" t="n">
        <v>225.42</v>
      </c>
      <c r="F2048">
        <f>Summary!$B$3-D2048</f>
        <v/>
      </c>
      <c r="G2048">
        <f>IF(D2048&gt;Summary!$B$3,"Current",IF(F2048&lt;=30,"0-30",IF(F2048&lt;=60,"31-60",IF(F2048&lt;=90,"61-90","90+"))))</f>
        <v/>
      </c>
    </row>
    <row r="2049">
      <c r="A2049" t="inlineStr">
        <is>
          <t>0009029306</t>
        </is>
      </c>
      <c r="B2049" t="inlineStr">
        <is>
          <t>0000100335</t>
        </is>
      </c>
      <c r="C2049" s="3" t="n">
        <v>46012</v>
      </c>
      <c r="D2049" s="3" t="n">
        <v>46042</v>
      </c>
      <c r="E2049" s="4" t="n">
        <v>1233.88</v>
      </c>
      <c r="F2049">
        <f>Summary!$B$3-D2049</f>
        <v/>
      </c>
      <c r="G2049">
        <f>IF(D2049&gt;Summary!$B$3,"Current",IF(F2049&lt;=30,"0-30",IF(F2049&lt;=60,"31-60",IF(F2049&lt;=90,"61-90","90+"))))</f>
        <v/>
      </c>
    </row>
    <row r="2050">
      <c r="A2050" t="inlineStr">
        <is>
          <t>0009029307</t>
        </is>
      </c>
      <c r="B2050" t="inlineStr">
        <is>
          <t>0000100434</t>
        </is>
      </c>
      <c r="C2050" s="3" t="n">
        <v>46012</v>
      </c>
      <c r="D2050" s="3" t="n">
        <v>46042</v>
      </c>
      <c r="E2050" s="4" t="n">
        <v>2335.18</v>
      </c>
      <c r="F2050">
        <f>Summary!$B$3-D2050</f>
        <v/>
      </c>
      <c r="G2050">
        <f>IF(D2050&gt;Summary!$B$3,"Current",IF(F2050&lt;=30,"0-30",IF(F2050&lt;=60,"31-60",IF(F2050&lt;=90,"61-90","90+"))))</f>
        <v/>
      </c>
    </row>
    <row r="2051">
      <c r="A2051" t="inlineStr">
        <is>
          <t>0009029308</t>
        </is>
      </c>
      <c r="B2051" t="inlineStr">
        <is>
          <t>0000100065</t>
        </is>
      </c>
      <c r="C2051" s="3" t="n">
        <v>46005</v>
      </c>
      <c r="D2051" s="3" t="n">
        <v>46050</v>
      </c>
      <c r="E2051" s="4" t="n">
        <v>1965.96</v>
      </c>
      <c r="F2051">
        <f>Summary!$B$3-D2051</f>
        <v/>
      </c>
      <c r="G2051">
        <f>IF(D2051&gt;Summary!$B$3,"Current",IF(F2051&lt;=30,"0-30",IF(F2051&lt;=60,"31-60",IF(F2051&lt;=90,"61-90","90+"))))</f>
        <v/>
      </c>
    </row>
    <row r="2052">
      <c r="A2052" t="inlineStr">
        <is>
          <t>0009029309</t>
        </is>
      </c>
      <c r="B2052" t="inlineStr">
        <is>
          <t>0000100122</t>
        </is>
      </c>
      <c r="C2052" s="3" t="n">
        <v>46008</v>
      </c>
      <c r="D2052" s="3" t="n">
        <v>46038</v>
      </c>
      <c r="E2052" s="4" t="n">
        <v>541.98</v>
      </c>
      <c r="F2052">
        <f>Summary!$B$3-D2052</f>
        <v/>
      </c>
      <c r="G2052">
        <f>IF(D2052&gt;Summary!$B$3,"Current",IF(F2052&lt;=30,"0-30",IF(F2052&lt;=60,"31-60",IF(F2052&lt;=90,"61-90","90+"))))</f>
        <v/>
      </c>
    </row>
    <row r="2053">
      <c r="A2053" t="inlineStr">
        <is>
          <t>0009029310</t>
        </is>
      </c>
      <c r="B2053" t="inlineStr">
        <is>
          <t>0000100229</t>
        </is>
      </c>
      <c r="C2053" s="3" t="n">
        <v>46010</v>
      </c>
      <c r="D2053" s="3" t="n">
        <v>46040</v>
      </c>
      <c r="E2053" s="4" t="n">
        <v>270.45</v>
      </c>
      <c r="F2053">
        <f>Summary!$B$3-D2053</f>
        <v/>
      </c>
      <c r="G2053">
        <f>IF(D2053&gt;Summary!$B$3,"Current",IF(F2053&lt;=30,"0-30",IF(F2053&lt;=60,"31-60",IF(F2053&lt;=90,"61-90","90+"))))</f>
        <v/>
      </c>
    </row>
    <row r="2054">
      <c r="A2054" t="inlineStr">
        <is>
          <t>0009029311</t>
        </is>
      </c>
      <c r="B2054" t="inlineStr">
        <is>
          <t>0000100582</t>
        </is>
      </c>
      <c r="C2054" s="3" t="n">
        <v>46011</v>
      </c>
      <c r="D2054" s="3" t="n">
        <v>46041</v>
      </c>
      <c r="E2054" s="4" t="n">
        <v>556.8</v>
      </c>
      <c r="F2054">
        <f>Summary!$B$3-D2054</f>
        <v/>
      </c>
      <c r="G2054">
        <f>IF(D2054&gt;Summary!$B$3,"Current",IF(F2054&lt;=30,"0-30",IF(F2054&lt;=60,"31-60",IF(F2054&lt;=90,"61-90","90+"))))</f>
        <v/>
      </c>
    </row>
    <row r="2055">
      <c r="A2055" t="inlineStr">
        <is>
          <t>0009029312</t>
        </is>
      </c>
      <c r="B2055" t="inlineStr">
        <is>
          <t>0000100227</t>
        </is>
      </c>
      <c r="C2055" s="3" t="n">
        <v>46007</v>
      </c>
      <c r="D2055" s="3" t="n">
        <v>46037</v>
      </c>
      <c r="E2055" s="4" t="n">
        <v>661.1799999999999</v>
      </c>
      <c r="F2055">
        <f>Summary!$B$3-D2055</f>
        <v/>
      </c>
      <c r="G2055">
        <f>IF(D2055&gt;Summary!$B$3,"Current",IF(F2055&lt;=30,"0-30",IF(F2055&lt;=60,"31-60",IF(F2055&lt;=90,"61-90","90+"))))</f>
        <v/>
      </c>
    </row>
    <row r="2056">
      <c r="A2056" t="inlineStr">
        <is>
          <t>0009029313</t>
        </is>
      </c>
      <c r="B2056" t="inlineStr">
        <is>
          <t>0000100400</t>
        </is>
      </c>
      <c r="C2056" s="3" t="n">
        <v>46010</v>
      </c>
      <c r="D2056" s="3" t="n">
        <v>46040</v>
      </c>
      <c r="E2056" s="4" t="n">
        <v>746.79</v>
      </c>
      <c r="F2056">
        <f>Summary!$B$3-D2056</f>
        <v/>
      </c>
      <c r="G2056">
        <f>IF(D2056&gt;Summary!$B$3,"Current",IF(F2056&lt;=30,"0-30",IF(F2056&lt;=60,"31-60",IF(F2056&lt;=90,"61-90","90+"))))</f>
        <v/>
      </c>
    </row>
    <row r="2057">
      <c r="A2057" t="inlineStr">
        <is>
          <t>0009029314</t>
        </is>
      </c>
      <c r="B2057" t="inlineStr">
        <is>
          <t>0000100529</t>
        </is>
      </c>
      <c r="C2057" s="3" t="n">
        <v>46005</v>
      </c>
      <c r="D2057" s="3" t="n">
        <v>46065</v>
      </c>
      <c r="E2057" s="4" t="n">
        <v>2435.56</v>
      </c>
      <c r="F2057">
        <f>Summary!$B$3-D2057</f>
        <v/>
      </c>
      <c r="G2057">
        <f>IF(D2057&gt;Summary!$B$3,"Current",IF(F2057&lt;=30,"0-30",IF(F2057&lt;=60,"31-60",IF(F2057&lt;=90,"61-90","90+"))))</f>
        <v/>
      </c>
    </row>
    <row r="2058">
      <c r="A2058" t="inlineStr">
        <is>
          <t>0009029315</t>
        </is>
      </c>
      <c r="B2058" t="inlineStr">
        <is>
          <t>0000100570</t>
        </is>
      </c>
      <c r="C2058" s="3" t="n">
        <v>46011</v>
      </c>
      <c r="D2058" s="3" t="n">
        <v>46041</v>
      </c>
      <c r="E2058" s="4" t="n">
        <v>270.92</v>
      </c>
      <c r="F2058">
        <f>Summary!$B$3-D2058</f>
        <v/>
      </c>
      <c r="G2058">
        <f>IF(D2058&gt;Summary!$B$3,"Current",IF(F2058&lt;=30,"0-30",IF(F2058&lt;=60,"31-60",IF(F2058&lt;=90,"61-90","90+"))))</f>
        <v/>
      </c>
    </row>
    <row r="2059">
      <c r="A2059" t="inlineStr">
        <is>
          <t>0009029316</t>
        </is>
      </c>
      <c r="B2059" t="inlineStr">
        <is>
          <t>0000100417</t>
        </is>
      </c>
      <c r="C2059" s="3" t="n">
        <v>46011</v>
      </c>
      <c r="D2059" s="3" t="n">
        <v>46071</v>
      </c>
      <c r="E2059" s="4" t="n">
        <v>1553.84</v>
      </c>
      <c r="F2059">
        <f>Summary!$B$3-D2059</f>
        <v/>
      </c>
      <c r="G2059">
        <f>IF(D2059&gt;Summary!$B$3,"Current",IF(F2059&lt;=30,"0-30",IF(F2059&lt;=60,"31-60",IF(F2059&lt;=90,"61-90","90+"))))</f>
        <v/>
      </c>
    </row>
    <row r="2060">
      <c r="A2060" t="inlineStr">
        <is>
          <t>0009029317</t>
        </is>
      </c>
      <c r="B2060" t="inlineStr">
        <is>
          <t>0000100208</t>
        </is>
      </c>
      <c r="C2060" s="3" t="n">
        <v>46008</v>
      </c>
      <c r="D2060" s="3" t="n">
        <v>46053</v>
      </c>
      <c r="E2060" s="4" t="n">
        <v>192.33</v>
      </c>
      <c r="F2060">
        <f>Summary!$B$3-D2060</f>
        <v/>
      </c>
      <c r="G2060">
        <f>IF(D2060&gt;Summary!$B$3,"Current",IF(F2060&lt;=30,"0-30",IF(F2060&lt;=60,"31-60",IF(F2060&lt;=90,"61-90","90+"))))</f>
        <v/>
      </c>
    </row>
    <row r="2061">
      <c r="A2061" t="inlineStr">
        <is>
          <t>0009029318</t>
        </is>
      </c>
      <c r="B2061" t="inlineStr">
        <is>
          <t>0000100576</t>
        </is>
      </c>
      <c r="C2061" s="3" t="n">
        <v>46006</v>
      </c>
      <c r="D2061" s="3" t="n">
        <v>46036</v>
      </c>
      <c r="E2061" s="4" t="n">
        <v>1721.28</v>
      </c>
      <c r="F2061">
        <f>Summary!$B$3-D2061</f>
        <v/>
      </c>
      <c r="G2061">
        <f>IF(D2061&gt;Summary!$B$3,"Current",IF(F2061&lt;=30,"0-30",IF(F2061&lt;=60,"31-60",IF(F2061&lt;=90,"61-90","90+"))))</f>
        <v/>
      </c>
    </row>
    <row r="2062">
      <c r="A2062" t="inlineStr">
        <is>
          <t>0009029319</t>
        </is>
      </c>
      <c r="B2062" t="inlineStr">
        <is>
          <t>0000100516</t>
        </is>
      </c>
      <c r="C2062" s="3" t="n">
        <v>46011</v>
      </c>
      <c r="D2062" s="3" t="n">
        <v>46041</v>
      </c>
      <c r="E2062" s="4" t="n">
        <v>794.12</v>
      </c>
      <c r="F2062">
        <f>Summary!$B$3-D2062</f>
        <v/>
      </c>
      <c r="G2062">
        <f>IF(D2062&gt;Summary!$B$3,"Current",IF(F2062&lt;=30,"0-30",IF(F2062&lt;=60,"31-60",IF(F2062&lt;=90,"61-90","90+"))))</f>
        <v/>
      </c>
    </row>
    <row r="2063">
      <c r="A2063" t="inlineStr">
        <is>
          <t>0009029320</t>
        </is>
      </c>
      <c r="B2063" t="inlineStr">
        <is>
          <t>0000100037</t>
        </is>
      </c>
      <c r="C2063" s="3" t="n">
        <v>46012</v>
      </c>
      <c r="D2063" s="3" t="n">
        <v>46057</v>
      </c>
      <c r="E2063" s="4" t="n">
        <v>203.73</v>
      </c>
      <c r="F2063">
        <f>Summary!$B$3-D2063</f>
        <v/>
      </c>
      <c r="G2063">
        <f>IF(D2063&gt;Summary!$B$3,"Current",IF(F2063&lt;=30,"0-30",IF(F2063&lt;=60,"31-60",IF(F2063&lt;=90,"61-90","90+"))))</f>
        <v/>
      </c>
    </row>
    <row r="2064">
      <c r="A2064" t="inlineStr">
        <is>
          <t>0009029321</t>
        </is>
      </c>
      <c r="B2064" t="inlineStr">
        <is>
          <t>0000100587</t>
        </is>
      </c>
      <c r="C2064" s="3" t="n">
        <v>46008</v>
      </c>
      <c r="D2064" s="3" t="n">
        <v>46068</v>
      </c>
      <c r="E2064" s="4" t="n">
        <v>253.22</v>
      </c>
      <c r="F2064">
        <f>Summary!$B$3-D2064</f>
        <v/>
      </c>
      <c r="G2064">
        <f>IF(D2064&gt;Summary!$B$3,"Current",IF(F2064&lt;=30,"0-30",IF(F2064&lt;=60,"31-60",IF(F2064&lt;=90,"61-90","90+"))))</f>
        <v/>
      </c>
    </row>
    <row r="2065">
      <c r="A2065" t="inlineStr">
        <is>
          <t>0009029322</t>
        </is>
      </c>
      <c r="B2065" t="inlineStr">
        <is>
          <t>0000100223</t>
        </is>
      </c>
      <c r="C2065" s="3" t="n">
        <v>46012</v>
      </c>
      <c r="D2065" s="3" t="n">
        <v>46057</v>
      </c>
      <c r="E2065" s="4" t="n">
        <v>276.48</v>
      </c>
      <c r="F2065">
        <f>Summary!$B$3-D2065</f>
        <v/>
      </c>
      <c r="G2065">
        <f>IF(D2065&gt;Summary!$B$3,"Current",IF(F2065&lt;=30,"0-30",IF(F2065&lt;=60,"31-60",IF(F2065&lt;=90,"61-90","90+"))))</f>
        <v/>
      </c>
    </row>
    <row r="2066">
      <c r="A2066" t="inlineStr">
        <is>
          <t>0009029324</t>
        </is>
      </c>
      <c r="B2066" t="inlineStr">
        <is>
          <t>0000100355</t>
        </is>
      </c>
      <c r="C2066" s="3" t="n">
        <v>46010</v>
      </c>
      <c r="D2066" s="3" t="n">
        <v>46070</v>
      </c>
      <c r="E2066" s="4" t="n">
        <v>1111.4</v>
      </c>
      <c r="F2066">
        <f>Summary!$B$3-D2066</f>
        <v/>
      </c>
      <c r="G2066">
        <f>IF(D2066&gt;Summary!$B$3,"Current",IF(F2066&lt;=30,"0-30",IF(F2066&lt;=60,"31-60",IF(F2066&lt;=90,"61-90","90+"))))</f>
        <v/>
      </c>
    </row>
    <row r="2067">
      <c r="A2067" t="inlineStr">
        <is>
          <t>0009029325</t>
        </is>
      </c>
      <c r="B2067" t="inlineStr">
        <is>
          <t>0000100313</t>
        </is>
      </c>
      <c r="C2067" s="3" t="n">
        <v>46012</v>
      </c>
      <c r="D2067" s="3" t="n">
        <v>46072</v>
      </c>
      <c r="E2067" s="4" t="n">
        <v>1706.59</v>
      </c>
      <c r="F2067">
        <f>Summary!$B$3-D2067</f>
        <v/>
      </c>
      <c r="G2067">
        <f>IF(D2067&gt;Summary!$B$3,"Current",IF(F2067&lt;=30,"0-30",IF(F2067&lt;=60,"31-60",IF(F2067&lt;=90,"61-90","90+"))))</f>
        <v/>
      </c>
    </row>
    <row r="2068">
      <c r="A2068" t="inlineStr">
        <is>
          <t>0009029326</t>
        </is>
      </c>
      <c r="B2068" t="inlineStr">
        <is>
          <t>0000100590</t>
        </is>
      </c>
      <c r="C2068" s="3" t="n">
        <v>46009</v>
      </c>
      <c r="D2068" s="3" t="n">
        <v>46039</v>
      </c>
      <c r="E2068" s="4" t="n">
        <v>533.01</v>
      </c>
      <c r="F2068">
        <f>Summary!$B$3-D2068</f>
        <v/>
      </c>
      <c r="G2068">
        <f>IF(D2068&gt;Summary!$B$3,"Current",IF(F2068&lt;=30,"0-30",IF(F2068&lt;=60,"31-60",IF(F2068&lt;=90,"61-90","90+"))))</f>
        <v/>
      </c>
    </row>
    <row r="2069">
      <c r="A2069" t="inlineStr">
        <is>
          <t>0009029327</t>
        </is>
      </c>
      <c r="B2069" t="inlineStr">
        <is>
          <t>0000100508</t>
        </is>
      </c>
      <c r="C2069" s="3" t="n">
        <v>46009</v>
      </c>
      <c r="D2069" s="3" t="n">
        <v>46069</v>
      </c>
      <c r="E2069" s="4" t="n">
        <v>2125.35</v>
      </c>
      <c r="F2069">
        <f>Summary!$B$3-D2069</f>
        <v/>
      </c>
      <c r="G2069">
        <f>IF(D2069&gt;Summary!$B$3,"Current",IF(F2069&lt;=30,"0-30",IF(F2069&lt;=60,"31-60",IF(F2069&lt;=90,"61-90","90+"))))</f>
        <v/>
      </c>
    </row>
    <row r="2070">
      <c r="A2070" t="inlineStr">
        <is>
          <t>0009029328</t>
        </is>
      </c>
      <c r="B2070" t="inlineStr">
        <is>
          <t>0000100451</t>
        </is>
      </c>
      <c r="C2070" s="3" t="n">
        <v>46006</v>
      </c>
      <c r="D2070" s="3" t="n">
        <v>46036</v>
      </c>
      <c r="E2070" s="4" t="n">
        <v>1679.62</v>
      </c>
      <c r="F2070">
        <f>Summary!$B$3-D2070</f>
        <v/>
      </c>
      <c r="G2070">
        <f>IF(D2070&gt;Summary!$B$3,"Current",IF(F2070&lt;=30,"0-30",IF(F2070&lt;=60,"31-60",IF(F2070&lt;=90,"61-90","90+"))))</f>
        <v/>
      </c>
    </row>
    <row r="2071">
      <c r="A2071" t="inlineStr">
        <is>
          <t>0009029329</t>
        </is>
      </c>
      <c r="B2071" t="inlineStr">
        <is>
          <t>0000100084</t>
        </is>
      </c>
      <c r="C2071" s="3" t="n">
        <v>46009</v>
      </c>
      <c r="D2071" s="3" t="n">
        <v>46054</v>
      </c>
      <c r="E2071" s="4" t="n">
        <v>536.35</v>
      </c>
      <c r="F2071">
        <f>Summary!$B$3-D2071</f>
        <v/>
      </c>
      <c r="G2071">
        <f>IF(D2071&gt;Summary!$B$3,"Current",IF(F2071&lt;=30,"0-30",IF(F2071&lt;=60,"31-60",IF(F2071&lt;=90,"61-90","90+"))))</f>
        <v/>
      </c>
    </row>
    <row r="2072">
      <c r="A2072" t="inlineStr">
        <is>
          <t>0009029330</t>
        </is>
      </c>
      <c r="B2072" t="inlineStr">
        <is>
          <t>0000100393</t>
        </is>
      </c>
      <c r="C2072" s="3" t="n">
        <v>46012</v>
      </c>
      <c r="D2072" s="3" t="n">
        <v>46042</v>
      </c>
      <c r="E2072" s="4" t="n">
        <v>236.82</v>
      </c>
      <c r="F2072">
        <f>Summary!$B$3-D2072</f>
        <v/>
      </c>
      <c r="G2072">
        <f>IF(D2072&gt;Summary!$B$3,"Current",IF(F2072&lt;=30,"0-30",IF(F2072&lt;=60,"31-60",IF(F2072&lt;=90,"61-90","90+"))))</f>
        <v/>
      </c>
    </row>
    <row r="2073">
      <c r="A2073" t="inlineStr">
        <is>
          <t>0009029331</t>
        </is>
      </c>
      <c r="B2073" t="inlineStr">
        <is>
          <t>0000100355</t>
        </is>
      </c>
      <c r="C2073" s="3" t="n">
        <v>46012</v>
      </c>
      <c r="D2073" s="3" t="n">
        <v>46072</v>
      </c>
      <c r="E2073" s="4" t="n">
        <v>1367.55</v>
      </c>
      <c r="F2073">
        <f>Summary!$B$3-D2073</f>
        <v/>
      </c>
      <c r="G2073">
        <f>IF(D2073&gt;Summary!$B$3,"Current",IF(F2073&lt;=30,"0-30",IF(F2073&lt;=60,"31-60",IF(F2073&lt;=90,"61-90","90+"))))</f>
        <v/>
      </c>
    </row>
    <row r="2074">
      <c r="A2074" t="inlineStr">
        <is>
          <t>0009029332</t>
        </is>
      </c>
      <c r="B2074" t="inlineStr">
        <is>
          <t>0000100000</t>
        </is>
      </c>
      <c r="C2074" s="3" t="n">
        <v>46010</v>
      </c>
      <c r="D2074" s="3" t="n">
        <v>46040</v>
      </c>
      <c r="E2074" s="4" t="n">
        <v>1260</v>
      </c>
      <c r="F2074">
        <f>Summary!$B$3-D2074</f>
        <v/>
      </c>
      <c r="G2074">
        <f>IF(D2074&gt;Summary!$B$3,"Current",IF(F2074&lt;=30,"0-30",IF(F2074&lt;=60,"31-60",IF(F2074&lt;=90,"61-90","90+"))))</f>
        <v/>
      </c>
    </row>
    <row r="2075">
      <c r="A2075" t="inlineStr">
        <is>
          <t>0009029333</t>
        </is>
      </c>
      <c r="B2075" t="inlineStr">
        <is>
          <t>0000100340</t>
        </is>
      </c>
      <c r="C2075" s="3" t="n">
        <v>46010</v>
      </c>
      <c r="D2075" s="3" t="n">
        <v>46040</v>
      </c>
      <c r="E2075" s="4" t="n">
        <v>251.16</v>
      </c>
      <c r="F2075">
        <f>Summary!$B$3-D2075</f>
        <v/>
      </c>
      <c r="G2075">
        <f>IF(D2075&gt;Summary!$B$3,"Current",IF(F2075&lt;=30,"0-30",IF(F2075&lt;=60,"31-60",IF(F2075&lt;=90,"61-90","90+"))))</f>
        <v/>
      </c>
    </row>
    <row r="2076">
      <c r="A2076" t="inlineStr">
        <is>
          <t>0009029334</t>
        </is>
      </c>
      <c r="B2076" t="inlineStr">
        <is>
          <t>0000100442</t>
        </is>
      </c>
      <c r="C2076" s="3" t="n">
        <v>46013</v>
      </c>
      <c r="D2076" s="3" t="n">
        <v>46058</v>
      </c>
      <c r="E2076" s="4" t="n">
        <v>1992.77</v>
      </c>
      <c r="F2076">
        <f>Summary!$B$3-D2076</f>
        <v/>
      </c>
      <c r="G2076">
        <f>IF(D2076&gt;Summary!$B$3,"Current",IF(F2076&lt;=30,"0-30",IF(F2076&lt;=60,"31-60",IF(F2076&lt;=90,"61-90","90+"))))</f>
        <v/>
      </c>
    </row>
    <row r="2077">
      <c r="A2077" t="inlineStr">
        <is>
          <t>0009029335</t>
        </is>
      </c>
      <c r="B2077" t="inlineStr">
        <is>
          <t>0000100127</t>
        </is>
      </c>
      <c r="C2077" s="3" t="n">
        <v>46004</v>
      </c>
      <c r="D2077" s="3" t="n">
        <v>46034</v>
      </c>
      <c r="E2077" s="4" t="n">
        <v>1362.3</v>
      </c>
      <c r="F2077">
        <f>Summary!$B$3-D2077</f>
        <v/>
      </c>
      <c r="G2077">
        <f>IF(D2077&gt;Summary!$B$3,"Current",IF(F2077&lt;=30,"0-30",IF(F2077&lt;=60,"31-60",IF(F2077&lt;=90,"61-90","90+"))))</f>
        <v/>
      </c>
    </row>
    <row r="2078">
      <c r="A2078" t="inlineStr">
        <is>
          <t>0009029336</t>
        </is>
      </c>
      <c r="B2078" t="inlineStr">
        <is>
          <t>0000100393</t>
        </is>
      </c>
      <c r="C2078" s="3" t="n">
        <v>46012</v>
      </c>
      <c r="D2078" s="3" t="n">
        <v>46042</v>
      </c>
      <c r="E2078" s="4" t="n">
        <v>532.64</v>
      </c>
      <c r="F2078">
        <f>Summary!$B$3-D2078</f>
        <v/>
      </c>
      <c r="G2078">
        <f>IF(D2078&gt;Summary!$B$3,"Current",IF(F2078&lt;=30,"0-30",IF(F2078&lt;=60,"31-60",IF(F2078&lt;=90,"61-90","90+"))))</f>
        <v/>
      </c>
    </row>
    <row r="2079">
      <c r="A2079" t="inlineStr">
        <is>
          <t>0009029337</t>
        </is>
      </c>
      <c r="B2079" t="inlineStr">
        <is>
          <t>0000100125</t>
        </is>
      </c>
      <c r="C2079" s="3" t="n">
        <v>46009</v>
      </c>
      <c r="D2079" s="3" t="n">
        <v>46039</v>
      </c>
      <c r="E2079" s="4" t="n">
        <v>820.6799999999999</v>
      </c>
      <c r="F2079">
        <f>Summary!$B$3-D2079</f>
        <v/>
      </c>
      <c r="G2079">
        <f>IF(D2079&gt;Summary!$B$3,"Current",IF(F2079&lt;=30,"0-30",IF(F2079&lt;=60,"31-60",IF(F2079&lt;=90,"61-90","90+"))))</f>
        <v/>
      </c>
    </row>
    <row r="2080">
      <c r="A2080" t="inlineStr">
        <is>
          <t>0009029338</t>
        </is>
      </c>
      <c r="B2080" t="inlineStr">
        <is>
          <t>0000100586</t>
        </is>
      </c>
      <c r="C2080" s="3" t="n">
        <v>46004</v>
      </c>
      <c r="D2080" s="3" t="n">
        <v>46034</v>
      </c>
      <c r="E2080" s="4" t="n">
        <v>941.23</v>
      </c>
      <c r="F2080">
        <f>Summary!$B$3-D2080</f>
        <v/>
      </c>
      <c r="G2080">
        <f>IF(D2080&gt;Summary!$B$3,"Current",IF(F2080&lt;=30,"0-30",IF(F2080&lt;=60,"31-60",IF(F2080&lt;=90,"61-90","90+"))))</f>
        <v/>
      </c>
    </row>
    <row r="2081">
      <c r="A2081" t="inlineStr">
        <is>
          <t>0009029339</t>
        </is>
      </c>
      <c r="B2081" t="inlineStr">
        <is>
          <t>0000100261</t>
        </is>
      </c>
      <c r="C2081" s="3" t="n">
        <v>46009</v>
      </c>
      <c r="D2081" s="3" t="n">
        <v>46054</v>
      </c>
      <c r="E2081" s="4" t="n">
        <v>1052.51</v>
      </c>
      <c r="F2081">
        <f>Summary!$B$3-D2081</f>
        <v/>
      </c>
      <c r="G2081">
        <f>IF(D2081&gt;Summary!$B$3,"Current",IF(F2081&lt;=30,"0-30",IF(F2081&lt;=60,"31-60",IF(F2081&lt;=90,"61-90","90+"))))</f>
        <v/>
      </c>
    </row>
    <row r="2082">
      <c r="A2082" t="inlineStr">
        <is>
          <t>0009029340</t>
        </is>
      </c>
      <c r="B2082" t="inlineStr">
        <is>
          <t>0000100019</t>
        </is>
      </c>
      <c r="C2082" s="3" t="n">
        <v>46007</v>
      </c>
      <c r="D2082" s="3" t="n">
        <v>46037</v>
      </c>
      <c r="E2082" s="4" t="n">
        <v>155.19</v>
      </c>
      <c r="F2082">
        <f>Summary!$B$3-D2082</f>
        <v/>
      </c>
      <c r="G2082">
        <f>IF(D2082&gt;Summary!$B$3,"Current",IF(F2082&lt;=30,"0-30",IF(F2082&lt;=60,"31-60",IF(F2082&lt;=90,"61-90","90+"))))</f>
        <v/>
      </c>
    </row>
    <row r="2083">
      <c r="A2083" t="inlineStr">
        <is>
          <t>0009029341</t>
        </is>
      </c>
      <c r="B2083" t="inlineStr">
        <is>
          <t>0000100001</t>
        </is>
      </c>
      <c r="C2083" s="3" t="n">
        <v>46016</v>
      </c>
      <c r="D2083" s="3" t="n">
        <v>46061</v>
      </c>
      <c r="E2083" s="4" t="n">
        <v>629.4299999999999</v>
      </c>
      <c r="F2083">
        <f>Summary!$B$3-D2083</f>
        <v/>
      </c>
      <c r="G2083">
        <f>IF(D2083&gt;Summary!$B$3,"Current",IF(F2083&lt;=30,"0-30",IF(F2083&lt;=60,"31-60",IF(F2083&lt;=90,"61-90","90+"))))</f>
        <v/>
      </c>
    </row>
    <row r="2084">
      <c r="A2084" t="inlineStr">
        <is>
          <t>0009029342</t>
        </is>
      </c>
      <c r="B2084" t="inlineStr">
        <is>
          <t>0000100362</t>
        </is>
      </c>
      <c r="C2084" s="3" t="n">
        <v>46012</v>
      </c>
      <c r="D2084" s="3" t="n">
        <v>46042</v>
      </c>
      <c r="E2084" s="4" t="n">
        <v>81.36</v>
      </c>
      <c r="F2084">
        <f>Summary!$B$3-D2084</f>
        <v/>
      </c>
      <c r="G2084">
        <f>IF(D2084&gt;Summary!$B$3,"Current",IF(F2084&lt;=30,"0-30",IF(F2084&lt;=60,"31-60",IF(F2084&lt;=90,"61-90","90+"))))</f>
        <v/>
      </c>
    </row>
    <row r="2085">
      <c r="A2085" t="inlineStr">
        <is>
          <t>0009029343</t>
        </is>
      </c>
      <c r="B2085" t="inlineStr">
        <is>
          <t>0000100427</t>
        </is>
      </c>
      <c r="C2085" s="3" t="n">
        <v>46007</v>
      </c>
      <c r="D2085" s="3" t="n">
        <v>46037</v>
      </c>
      <c r="E2085" s="4" t="n">
        <v>283.79</v>
      </c>
      <c r="F2085">
        <f>Summary!$B$3-D2085</f>
        <v/>
      </c>
      <c r="G2085">
        <f>IF(D2085&gt;Summary!$B$3,"Current",IF(F2085&lt;=30,"0-30",IF(F2085&lt;=60,"31-60",IF(F2085&lt;=90,"61-90","90+"))))</f>
        <v/>
      </c>
    </row>
    <row r="2086">
      <c r="A2086" t="inlineStr">
        <is>
          <t>0009029345</t>
        </is>
      </c>
      <c r="B2086" t="inlineStr">
        <is>
          <t>0000100521</t>
        </is>
      </c>
      <c r="C2086" s="3" t="n">
        <v>46004</v>
      </c>
      <c r="D2086" s="3" t="n">
        <v>46034</v>
      </c>
      <c r="E2086" s="4" t="n">
        <v>696.6799999999999</v>
      </c>
      <c r="F2086">
        <f>Summary!$B$3-D2086</f>
        <v/>
      </c>
      <c r="G2086">
        <f>IF(D2086&gt;Summary!$B$3,"Current",IF(F2086&lt;=30,"0-30",IF(F2086&lt;=60,"31-60",IF(F2086&lt;=90,"61-90","90+"))))</f>
        <v/>
      </c>
    </row>
    <row r="2087">
      <c r="A2087" t="inlineStr">
        <is>
          <t>0009029346</t>
        </is>
      </c>
      <c r="B2087" t="inlineStr">
        <is>
          <t>0000100435</t>
        </is>
      </c>
      <c r="C2087" s="3" t="n">
        <v>46010</v>
      </c>
      <c r="D2087" s="3" t="n">
        <v>46055</v>
      </c>
      <c r="E2087" s="4" t="n">
        <v>1551.85</v>
      </c>
      <c r="F2087">
        <f>Summary!$B$3-D2087</f>
        <v/>
      </c>
      <c r="G2087">
        <f>IF(D2087&gt;Summary!$B$3,"Current",IF(F2087&lt;=30,"0-30",IF(F2087&lt;=60,"31-60",IF(F2087&lt;=90,"61-90","90+"))))</f>
        <v/>
      </c>
    </row>
    <row r="2088">
      <c r="A2088" t="inlineStr">
        <is>
          <t>0009029347</t>
        </is>
      </c>
      <c r="B2088" t="inlineStr">
        <is>
          <t>0000100293</t>
        </is>
      </c>
      <c r="C2088" s="3" t="n">
        <v>46008</v>
      </c>
      <c r="D2088" s="3" t="n">
        <v>46038</v>
      </c>
      <c r="E2088" s="4" t="n">
        <v>334.9</v>
      </c>
      <c r="F2088">
        <f>Summary!$B$3-D2088</f>
        <v/>
      </c>
      <c r="G2088">
        <f>IF(D2088&gt;Summary!$B$3,"Current",IF(F2088&lt;=30,"0-30",IF(F2088&lt;=60,"31-60",IF(F2088&lt;=90,"61-90","90+"))))</f>
        <v/>
      </c>
    </row>
    <row r="2089">
      <c r="A2089" t="inlineStr">
        <is>
          <t>0009029348</t>
        </is>
      </c>
      <c r="B2089" t="inlineStr">
        <is>
          <t>0000100247</t>
        </is>
      </c>
      <c r="C2089" s="3" t="n">
        <v>46009</v>
      </c>
      <c r="D2089" s="3" t="n">
        <v>46054</v>
      </c>
      <c r="E2089" s="4" t="n">
        <v>1650.18</v>
      </c>
      <c r="F2089">
        <f>Summary!$B$3-D2089</f>
        <v/>
      </c>
      <c r="G2089">
        <f>IF(D2089&gt;Summary!$B$3,"Current",IF(F2089&lt;=30,"0-30",IF(F2089&lt;=60,"31-60",IF(F2089&lt;=90,"61-90","90+"))))</f>
        <v/>
      </c>
    </row>
    <row r="2090">
      <c r="A2090" t="inlineStr">
        <is>
          <t>0009029349</t>
        </is>
      </c>
      <c r="B2090" t="inlineStr">
        <is>
          <t>0000100294</t>
        </is>
      </c>
      <c r="C2090" s="3" t="n">
        <v>46006</v>
      </c>
      <c r="D2090" s="3" t="n">
        <v>46051</v>
      </c>
      <c r="E2090" s="4" t="n">
        <v>1111.14</v>
      </c>
      <c r="F2090">
        <f>Summary!$B$3-D2090</f>
        <v/>
      </c>
      <c r="G2090">
        <f>IF(D2090&gt;Summary!$B$3,"Current",IF(F2090&lt;=30,"0-30",IF(F2090&lt;=60,"31-60",IF(F2090&lt;=90,"61-90","90+"))))</f>
        <v/>
      </c>
    </row>
    <row r="2091">
      <c r="A2091" t="inlineStr">
        <is>
          <t>0009029350</t>
        </is>
      </c>
      <c r="B2091" t="inlineStr">
        <is>
          <t>0000100279</t>
        </is>
      </c>
      <c r="C2091" s="3" t="n">
        <v>46011</v>
      </c>
      <c r="D2091" s="3" t="n">
        <v>46056</v>
      </c>
      <c r="E2091" s="4" t="n">
        <v>653.03</v>
      </c>
      <c r="F2091">
        <f>Summary!$B$3-D2091</f>
        <v/>
      </c>
      <c r="G2091">
        <f>IF(D2091&gt;Summary!$B$3,"Current",IF(F2091&lt;=30,"0-30",IF(F2091&lt;=60,"31-60",IF(F2091&lt;=90,"61-90","90+"))))</f>
        <v/>
      </c>
    </row>
    <row r="2092">
      <c r="A2092" t="inlineStr">
        <is>
          <t>0009029351</t>
        </is>
      </c>
      <c r="B2092" t="inlineStr">
        <is>
          <t>0000100083</t>
        </is>
      </c>
      <c r="C2092" s="3" t="n">
        <v>46009</v>
      </c>
      <c r="D2092" s="3" t="n">
        <v>46039</v>
      </c>
      <c r="E2092" s="4" t="n">
        <v>202.13</v>
      </c>
      <c r="F2092">
        <f>Summary!$B$3-D2092</f>
        <v/>
      </c>
      <c r="G2092">
        <f>IF(D2092&gt;Summary!$B$3,"Current",IF(F2092&lt;=30,"0-30",IF(F2092&lt;=60,"31-60",IF(F2092&lt;=90,"61-90","90+"))))</f>
        <v/>
      </c>
    </row>
    <row r="2093">
      <c r="A2093" t="inlineStr">
        <is>
          <t>0009029352</t>
        </is>
      </c>
      <c r="B2093" t="inlineStr">
        <is>
          <t>0000100187</t>
        </is>
      </c>
      <c r="C2093" s="3" t="n">
        <v>46014</v>
      </c>
      <c r="D2093" s="3" t="n">
        <v>46044</v>
      </c>
      <c r="E2093" s="4" t="n">
        <v>3252.88</v>
      </c>
      <c r="F2093">
        <f>Summary!$B$3-D2093</f>
        <v/>
      </c>
      <c r="G2093">
        <f>IF(D2093&gt;Summary!$B$3,"Current",IF(F2093&lt;=30,"0-30",IF(F2093&lt;=60,"31-60",IF(F2093&lt;=90,"61-90","90+"))))</f>
        <v/>
      </c>
    </row>
    <row r="2094">
      <c r="A2094" t="inlineStr">
        <is>
          <t>0009029353</t>
        </is>
      </c>
      <c r="B2094" t="inlineStr">
        <is>
          <t>0000100189</t>
        </is>
      </c>
      <c r="C2094" s="3" t="n">
        <v>46008</v>
      </c>
      <c r="D2094" s="3" t="n">
        <v>46053</v>
      </c>
      <c r="E2094" s="4" t="n">
        <v>180.98</v>
      </c>
      <c r="F2094">
        <f>Summary!$B$3-D2094</f>
        <v/>
      </c>
      <c r="G2094">
        <f>IF(D2094&gt;Summary!$B$3,"Current",IF(F2094&lt;=30,"0-30",IF(F2094&lt;=60,"31-60",IF(F2094&lt;=90,"61-90","90+"))))</f>
        <v/>
      </c>
    </row>
    <row r="2095">
      <c r="A2095" t="inlineStr">
        <is>
          <t>0009029354</t>
        </is>
      </c>
      <c r="B2095" t="inlineStr">
        <is>
          <t>0000100268</t>
        </is>
      </c>
      <c r="C2095" s="3" t="n">
        <v>46009</v>
      </c>
      <c r="D2095" s="3" t="n">
        <v>46039</v>
      </c>
      <c r="E2095" s="4" t="n">
        <v>1566.93</v>
      </c>
      <c r="F2095">
        <f>Summary!$B$3-D2095</f>
        <v/>
      </c>
      <c r="G2095">
        <f>IF(D2095&gt;Summary!$B$3,"Current",IF(F2095&lt;=30,"0-30",IF(F2095&lt;=60,"31-60",IF(F2095&lt;=90,"61-90","90+"))))</f>
        <v/>
      </c>
    </row>
    <row r="2096">
      <c r="A2096" t="inlineStr">
        <is>
          <t>0009029355</t>
        </is>
      </c>
      <c r="B2096" t="inlineStr">
        <is>
          <t>0000100371</t>
        </is>
      </c>
      <c r="C2096" s="3" t="n">
        <v>46011</v>
      </c>
      <c r="D2096" s="3" t="n">
        <v>46041</v>
      </c>
      <c r="E2096" s="4" t="n">
        <v>1687.88</v>
      </c>
      <c r="F2096">
        <f>Summary!$B$3-D2096</f>
        <v/>
      </c>
      <c r="G2096">
        <f>IF(D2096&gt;Summary!$B$3,"Current",IF(F2096&lt;=30,"0-30",IF(F2096&lt;=60,"31-60",IF(F2096&lt;=90,"61-90","90+"))))</f>
        <v/>
      </c>
    </row>
    <row r="2097">
      <c r="A2097" t="inlineStr">
        <is>
          <t>0009029356</t>
        </is>
      </c>
      <c r="B2097" t="inlineStr">
        <is>
          <t>0000100052</t>
        </is>
      </c>
      <c r="C2097" s="3" t="n">
        <v>46009</v>
      </c>
      <c r="D2097" s="3" t="n">
        <v>46054</v>
      </c>
      <c r="E2097" s="4" t="n">
        <v>518.23</v>
      </c>
      <c r="F2097">
        <f>Summary!$B$3-D2097</f>
        <v/>
      </c>
      <c r="G2097">
        <f>IF(D2097&gt;Summary!$B$3,"Current",IF(F2097&lt;=30,"0-30",IF(F2097&lt;=60,"31-60",IF(F2097&lt;=90,"61-90","90+"))))</f>
        <v/>
      </c>
    </row>
    <row r="2098">
      <c r="A2098" t="inlineStr">
        <is>
          <t>0009029357</t>
        </is>
      </c>
      <c r="B2098" t="inlineStr">
        <is>
          <t>0000100543</t>
        </is>
      </c>
      <c r="C2098" s="3" t="n">
        <v>46005</v>
      </c>
      <c r="D2098" s="3" t="n">
        <v>46065</v>
      </c>
      <c r="E2098" s="4" t="n">
        <v>270.09</v>
      </c>
      <c r="F2098">
        <f>Summary!$B$3-D2098</f>
        <v/>
      </c>
      <c r="G2098">
        <f>IF(D2098&gt;Summary!$B$3,"Current",IF(F2098&lt;=30,"0-30",IF(F2098&lt;=60,"31-60",IF(F2098&lt;=90,"61-90","90+"))))</f>
        <v/>
      </c>
    </row>
    <row r="2099">
      <c r="A2099" t="inlineStr">
        <is>
          <t>0009029358</t>
        </is>
      </c>
      <c r="B2099" t="inlineStr">
        <is>
          <t>0000100484</t>
        </is>
      </c>
      <c r="C2099" s="3" t="n">
        <v>46014</v>
      </c>
      <c r="D2099" s="3" t="n">
        <v>46074</v>
      </c>
      <c r="E2099" s="4" t="n">
        <v>659.4400000000001</v>
      </c>
      <c r="F2099">
        <f>Summary!$B$3-D2099</f>
        <v/>
      </c>
      <c r="G2099">
        <f>IF(D2099&gt;Summary!$B$3,"Current",IF(F2099&lt;=30,"0-30",IF(F2099&lt;=60,"31-60",IF(F2099&lt;=90,"61-90","90+"))))</f>
        <v/>
      </c>
    </row>
    <row r="2100">
      <c r="A2100" t="inlineStr">
        <is>
          <t>0009029359</t>
        </is>
      </c>
      <c r="B2100" t="inlineStr">
        <is>
          <t>0000100190</t>
        </is>
      </c>
      <c r="C2100" s="3" t="n">
        <v>46014</v>
      </c>
      <c r="D2100" s="3" t="n">
        <v>46044</v>
      </c>
      <c r="E2100" s="4" t="n">
        <v>2063.22</v>
      </c>
      <c r="F2100">
        <f>Summary!$B$3-D2100</f>
        <v/>
      </c>
      <c r="G2100">
        <f>IF(D2100&gt;Summary!$B$3,"Current",IF(F2100&lt;=30,"0-30",IF(F2100&lt;=60,"31-60",IF(F2100&lt;=90,"61-90","90+"))))</f>
        <v/>
      </c>
    </row>
    <row r="2101">
      <c r="A2101" t="inlineStr">
        <is>
          <t>0009029360</t>
        </is>
      </c>
      <c r="B2101" t="inlineStr">
        <is>
          <t>0000100058</t>
        </is>
      </c>
      <c r="C2101" s="3" t="n">
        <v>46013</v>
      </c>
      <c r="D2101" s="3" t="n">
        <v>46058</v>
      </c>
      <c r="E2101" s="4" t="n">
        <v>549.8099999999999</v>
      </c>
      <c r="F2101">
        <f>Summary!$B$3-D2101</f>
        <v/>
      </c>
      <c r="G2101">
        <f>IF(D2101&gt;Summary!$B$3,"Current",IF(F2101&lt;=30,"0-30",IF(F2101&lt;=60,"31-60",IF(F2101&lt;=90,"61-90","90+"))))</f>
        <v/>
      </c>
    </row>
    <row r="2102">
      <c r="A2102" t="inlineStr">
        <is>
          <t>0009029362</t>
        </is>
      </c>
      <c r="B2102" t="inlineStr">
        <is>
          <t>0000100097</t>
        </is>
      </c>
      <c r="C2102" s="3" t="n">
        <v>46013</v>
      </c>
      <c r="D2102" s="3" t="n">
        <v>46058</v>
      </c>
      <c r="E2102" s="4" t="n">
        <v>387.76</v>
      </c>
      <c r="F2102">
        <f>Summary!$B$3-D2102</f>
        <v/>
      </c>
      <c r="G2102">
        <f>IF(D2102&gt;Summary!$B$3,"Current",IF(F2102&lt;=30,"0-30",IF(F2102&lt;=60,"31-60",IF(F2102&lt;=90,"61-90","90+"))))</f>
        <v/>
      </c>
    </row>
    <row r="2103">
      <c r="A2103" t="inlineStr">
        <is>
          <t>0009029363</t>
        </is>
      </c>
      <c r="B2103" t="inlineStr">
        <is>
          <t>0000100496</t>
        </is>
      </c>
      <c r="C2103" s="3" t="n">
        <v>46011</v>
      </c>
      <c r="D2103" s="3" t="n">
        <v>46041</v>
      </c>
      <c r="E2103" s="4" t="n">
        <v>1160.38</v>
      </c>
      <c r="F2103">
        <f>Summary!$B$3-D2103</f>
        <v/>
      </c>
      <c r="G2103">
        <f>IF(D2103&gt;Summary!$B$3,"Current",IF(F2103&lt;=30,"0-30",IF(F2103&lt;=60,"31-60",IF(F2103&lt;=90,"61-90","90+"))))</f>
        <v/>
      </c>
    </row>
    <row r="2104">
      <c r="A2104" t="inlineStr">
        <is>
          <t>0009029364</t>
        </is>
      </c>
      <c r="B2104" t="inlineStr">
        <is>
          <t>0000100522</t>
        </is>
      </c>
      <c r="C2104" s="3" t="n">
        <v>46007</v>
      </c>
      <c r="D2104" s="3" t="n">
        <v>46067</v>
      </c>
      <c r="E2104" s="4" t="n">
        <v>326.25</v>
      </c>
      <c r="F2104">
        <f>Summary!$B$3-D2104</f>
        <v/>
      </c>
      <c r="G2104">
        <f>IF(D2104&gt;Summary!$B$3,"Current",IF(F2104&lt;=30,"0-30",IF(F2104&lt;=60,"31-60",IF(F2104&lt;=90,"61-90","90+"))))</f>
        <v/>
      </c>
    </row>
    <row r="2105">
      <c r="A2105" t="inlineStr">
        <is>
          <t>0009029365</t>
        </is>
      </c>
      <c r="B2105" t="inlineStr">
        <is>
          <t>0000100071</t>
        </is>
      </c>
      <c r="C2105" s="3" t="n">
        <v>46007</v>
      </c>
      <c r="D2105" s="3" t="n">
        <v>46052</v>
      </c>
      <c r="E2105" s="4" t="n">
        <v>1245.01</v>
      </c>
      <c r="F2105">
        <f>Summary!$B$3-D2105</f>
        <v/>
      </c>
      <c r="G2105">
        <f>IF(D2105&gt;Summary!$B$3,"Current",IF(F2105&lt;=30,"0-30",IF(F2105&lt;=60,"31-60",IF(F2105&lt;=90,"61-90","90+"))))</f>
        <v/>
      </c>
    </row>
    <row r="2106">
      <c r="A2106" t="inlineStr">
        <is>
          <t>0009029366</t>
        </is>
      </c>
      <c r="B2106" t="inlineStr">
        <is>
          <t>0000100424</t>
        </is>
      </c>
      <c r="C2106" s="3" t="n">
        <v>46012</v>
      </c>
      <c r="D2106" s="3" t="n">
        <v>46057</v>
      </c>
      <c r="E2106" s="4" t="n">
        <v>413.13</v>
      </c>
      <c r="F2106">
        <f>Summary!$B$3-D2106</f>
        <v/>
      </c>
      <c r="G2106">
        <f>IF(D2106&gt;Summary!$B$3,"Current",IF(F2106&lt;=30,"0-30",IF(F2106&lt;=60,"31-60",IF(F2106&lt;=90,"61-90","90+"))))</f>
        <v/>
      </c>
    </row>
    <row r="2107">
      <c r="A2107" t="inlineStr">
        <is>
          <t>0009029367</t>
        </is>
      </c>
      <c r="B2107" t="inlineStr">
        <is>
          <t>0000100539</t>
        </is>
      </c>
      <c r="C2107" s="3" t="n">
        <v>46014</v>
      </c>
      <c r="D2107" s="3" t="n">
        <v>46059</v>
      </c>
      <c r="E2107" s="4" t="n">
        <v>535.92</v>
      </c>
      <c r="F2107">
        <f>Summary!$B$3-D2107</f>
        <v/>
      </c>
      <c r="G2107">
        <f>IF(D2107&gt;Summary!$B$3,"Current",IF(F2107&lt;=30,"0-30",IF(F2107&lt;=60,"31-60",IF(F2107&lt;=90,"61-90","90+"))))</f>
        <v/>
      </c>
    </row>
    <row r="2108">
      <c r="A2108" t="inlineStr">
        <is>
          <t>0009029368</t>
        </is>
      </c>
      <c r="B2108" t="inlineStr">
        <is>
          <t>0000100260</t>
        </is>
      </c>
      <c r="C2108" s="3" t="n">
        <v>46006</v>
      </c>
      <c r="D2108" s="3" t="n">
        <v>46051</v>
      </c>
      <c r="E2108" s="4" t="n">
        <v>1361.44</v>
      </c>
      <c r="F2108">
        <f>Summary!$B$3-D2108</f>
        <v/>
      </c>
      <c r="G2108">
        <f>IF(D2108&gt;Summary!$B$3,"Current",IF(F2108&lt;=30,"0-30",IF(F2108&lt;=60,"31-60",IF(F2108&lt;=90,"61-90","90+"))))</f>
        <v/>
      </c>
    </row>
    <row r="2109">
      <c r="A2109" t="inlineStr">
        <is>
          <t>0009029369</t>
        </is>
      </c>
      <c r="B2109" t="inlineStr">
        <is>
          <t>0000100357</t>
        </is>
      </c>
      <c r="C2109" s="3" t="n">
        <v>46009</v>
      </c>
      <c r="D2109" s="3" t="n">
        <v>46054</v>
      </c>
      <c r="E2109" s="4" t="n">
        <v>227.5</v>
      </c>
      <c r="F2109">
        <f>Summary!$B$3-D2109</f>
        <v/>
      </c>
      <c r="G2109">
        <f>IF(D2109&gt;Summary!$B$3,"Current",IF(F2109&lt;=30,"0-30",IF(F2109&lt;=60,"31-60",IF(F2109&lt;=90,"61-90","90+"))))</f>
        <v/>
      </c>
    </row>
    <row r="2110">
      <c r="A2110" t="inlineStr">
        <is>
          <t>0009029370</t>
        </is>
      </c>
      <c r="B2110" t="inlineStr">
        <is>
          <t>0000100201</t>
        </is>
      </c>
      <c r="C2110" s="3" t="n">
        <v>46008</v>
      </c>
      <c r="D2110" s="3" t="n">
        <v>46038</v>
      </c>
      <c r="E2110" s="4" t="n">
        <v>3083.95</v>
      </c>
      <c r="F2110">
        <f>Summary!$B$3-D2110</f>
        <v/>
      </c>
      <c r="G2110">
        <f>IF(D2110&gt;Summary!$B$3,"Current",IF(F2110&lt;=30,"0-30",IF(F2110&lt;=60,"31-60",IF(F2110&lt;=90,"61-90","90+"))))</f>
        <v/>
      </c>
    </row>
    <row r="2111">
      <c r="A2111" t="inlineStr">
        <is>
          <t>0009029371</t>
        </is>
      </c>
      <c r="B2111" t="inlineStr">
        <is>
          <t>0000100201</t>
        </is>
      </c>
      <c r="C2111" s="3" t="n">
        <v>46012</v>
      </c>
      <c r="D2111" s="3" t="n">
        <v>46042</v>
      </c>
      <c r="E2111" s="4" t="n">
        <v>1370.85</v>
      </c>
      <c r="F2111">
        <f>Summary!$B$3-D2111</f>
        <v/>
      </c>
      <c r="G2111">
        <f>IF(D2111&gt;Summary!$B$3,"Current",IF(F2111&lt;=30,"0-30",IF(F2111&lt;=60,"31-60",IF(F2111&lt;=90,"61-90","90+"))))</f>
        <v/>
      </c>
    </row>
    <row r="2112">
      <c r="A2112" t="inlineStr">
        <is>
          <t>0009029372</t>
        </is>
      </c>
      <c r="B2112" t="inlineStr">
        <is>
          <t>0000100051</t>
        </is>
      </c>
      <c r="C2112" s="3" t="n">
        <v>46011</v>
      </c>
      <c r="D2112" s="3" t="n">
        <v>46071</v>
      </c>
      <c r="E2112" s="4" t="n">
        <v>811.99</v>
      </c>
      <c r="F2112">
        <f>Summary!$B$3-D2112</f>
        <v/>
      </c>
      <c r="G2112">
        <f>IF(D2112&gt;Summary!$B$3,"Current",IF(F2112&lt;=30,"0-30",IF(F2112&lt;=60,"31-60",IF(F2112&lt;=90,"61-90","90+"))))</f>
        <v/>
      </c>
    </row>
    <row r="2113">
      <c r="A2113" t="inlineStr">
        <is>
          <t>0009029373</t>
        </is>
      </c>
      <c r="B2113" t="inlineStr">
        <is>
          <t>0000100260</t>
        </is>
      </c>
      <c r="C2113" s="3" t="n">
        <v>46008</v>
      </c>
      <c r="D2113" s="3" t="n">
        <v>46053</v>
      </c>
      <c r="E2113" s="4" t="n">
        <v>382.41</v>
      </c>
      <c r="F2113">
        <f>Summary!$B$3-D2113</f>
        <v/>
      </c>
      <c r="G2113">
        <f>IF(D2113&gt;Summary!$B$3,"Current",IF(F2113&lt;=30,"0-30",IF(F2113&lt;=60,"31-60",IF(F2113&lt;=90,"61-90","90+"))))</f>
        <v/>
      </c>
    </row>
    <row r="2114">
      <c r="A2114" t="inlineStr">
        <is>
          <t>0009029375</t>
        </is>
      </c>
      <c r="B2114" t="inlineStr">
        <is>
          <t>0000100028</t>
        </is>
      </c>
      <c r="C2114" s="3" t="n">
        <v>46009</v>
      </c>
      <c r="D2114" s="3" t="n">
        <v>46054</v>
      </c>
      <c r="E2114" s="4" t="n">
        <v>1938.19</v>
      </c>
      <c r="F2114">
        <f>Summary!$B$3-D2114</f>
        <v/>
      </c>
      <c r="G2114">
        <f>IF(D2114&gt;Summary!$B$3,"Current",IF(F2114&lt;=30,"0-30",IF(F2114&lt;=60,"31-60",IF(F2114&lt;=90,"61-90","90+"))))</f>
        <v/>
      </c>
    </row>
    <row r="2115">
      <c r="A2115" t="inlineStr">
        <is>
          <t>0009029376</t>
        </is>
      </c>
      <c r="B2115" t="inlineStr">
        <is>
          <t>0000100127</t>
        </is>
      </c>
      <c r="C2115" s="3" t="n">
        <v>46017</v>
      </c>
      <c r="D2115" s="3" t="n">
        <v>46047</v>
      </c>
      <c r="E2115" s="4" t="n">
        <v>1824.28</v>
      </c>
      <c r="F2115">
        <f>Summary!$B$3-D2115</f>
        <v/>
      </c>
      <c r="G2115">
        <f>IF(D2115&gt;Summary!$B$3,"Current",IF(F2115&lt;=30,"0-30",IF(F2115&lt;=60,"31-60",IF(F2115&lt;=90,"61-90","90+"))))</f>
        <v/>
      </c>
    </row>
    <row r="2116">
      <c r="A2116" t="inlineStr">
        <is>
          <t>0009029377</t>
        </is>
      </c>
      <c r="B2116" t="inlineStr">
        <is>
          <t>0000100313</t>
        </is>
      </c>
      <c r="C2116" s="3" t="n">
        <v>46014</v>
      </c>
      <c r="D2116" s="3" t="n">
        <v>46074</v>
      </c>
      <c r="E2116" s="4" t="n">
        <v>1427.45</v>
      </c>
      <c r="F2116">
        <f>Summary!$B$3-D2116</f>
        <v/>
      </c>
      <c r="G2116">
        <f>IF(D2116&gt;Summary!$B$3,"Current",IF(F2116&lt;=30,"0-30",IF(F2116&lt;=60,"31-60",IF(F2116&lt;=90,"61-90","90+"))))</f>
        <v/>
      </c>
    </row>
    <row r="2117">
      <c r="A2117" t="inlineStr">
        <is>
          <t>0009029378</t>
        </is>
      </c>
      <c r="B2117" t="inlineStr">
        <is>
          <t>0000100158</t>
        </is>
      </c>
      <c r="C2117" s="3" t="n">
        <v>46013</v>
      </c>
      <c r="D2117" s="3" t="n">
        <v>46043</v>
      </c>
      <c r="E2117" s="4" t="n">
        <v>598.47</v>
      </c>
      <c r="F2117">
        <f>Summary!$B$3-D2117</f>
        <v/>
      </c>
      <c r="G2117">
        <f>IF(D2117&gt;Summary!$B$3,"Current",IF(F2117&lt;=30,"0-30",IF(F2117&lt;=60,"31-60",IF(F2117&lt;=90,"61-90","90+"))))</f>
        <v/>
      </c>
    </row>
    <row r="2118">
      <c r="A2118" t="inlineStr">
        <is>
          <t>0009029379</t>
        </is>
      </c>
      <c r="B2118" t="inlineStr">
        <is>
          <t>0000100064</t>
        </is>
      </c>
      <c r="C2118" s="3" t="n">
        <v>46014</v>
      </c>
      <c r="D2118" s="3" t="n">
        <v>46044</v>
      </c>
      <c r="E2118" s="4" t="n">
        <v>1259.5</v>
      </c>
      <c r="F2118">
        <f>Summary!$B$3-D2118</f>
        <v/>
      </c>
      <c r="G2118">
        <f>IF(D2118&gt;Summary!$B$3,"Current",IF(F2118&lt;=30,"0-30",IF(F2118&lt;=60,"31-60",IF(F2118&lt;=90,"61-90","90+"))))</f>
        <v/>
      </c>
    </row>
    <row r="2119">
      <c r="A2119" t="inlineStr">
        <is>
          <t>0009029380</t>
        </is>
      </c>
      <c r="B2119" t="inlineStr">
        <is>
          <t>0000100141</t>
        </is>
      </c>
      <c r="C2119" s="3" t="n">
        <v>46013</v>
      </c>
      <c r="D2119" s="3" t="n">
        <v>46043</v>
      </c>
      <c r="E2119" s="4" t="n">
        <v>1089.26</v>
      </c>
      <c r="F2119">
        <f>Summary!$B$3-D2119</f>
        <v/>
      </c>
      <c r="G2119">
        <f>IF(D2119&gt;Summary!$B$3,"Current",IF(F2119&lt;=30,"0-30",IF(F2119&lt;=60,"31-60",IF(F2119&lt;=90,"61-90","90+"))))</f>
        <v/>
      </c>
    </row>
    <row r="2120">
      <c r="A2120" t="inlineStr">
        <is>
          <t>0009029381</t>
        </is>
      </c>
      <c r="B2120" t="inlineStr">
        <is>
          <t>0000100400</t>
        </is>
      </c>
      <c r="C2120" s="3" t="n">
        <v>46013</v>
      </c>
      <c r="D2120" s="3" t="n">
        <v>46043</v>
      </c>
      <c r="E2120" s="4" t="n">
        <v>704.33</v>
      </c>
      <c r="F2120">
        <f>Summary!$B$3-D2120</f>
        <v/>
      </c>
      <c r="G2120">
        <f>IF(D2120&gt;Summary!$B$3,"Current",IF(F2120&lt;=30,"0-30",IF(F2120&lt;=60,"31-60",IF(F2120&lt;=90,"61-90","90+"))))</f>
        <v/>
      </c>
    </row>
    <row r="2121">
      <c r="A2121" t="inlineStr">
        <is>
          <t>0009029382</t>
        </is>
      </c>
      <c r="B2121" t="inlineStr">
        <is>
          <t>0000100164</t>
        </is>
      </c>
      <c r="C2121" s="3" t="n">
        <v>46015</v>
      </c>
      <c r="D2121" s="3" t="n">
        <v>46075</v>
      </c>
      <c r="E2121" s="4" t="n">
        <v>794.22</v>
      </c>
      <c r="F2121">
        <f>Summary!$B$3-D2121</f>
        <v/>
      </c>
      <c r="G2121">
        <f>IF(D2121&gt;Summary!$B$3,"Current",IF(F2121&lt;=30,"0-30",IF(F2121&lt;=60,"31-60",IF(F2121&lt;=90,"61-90","90+"))))</f>
        <v/>
      </c>
    </row>
    <row r="2122">
      <c r="A2122" t="inlineStr">
        <is>
          <t>0009029383</t>
        </is>
      </c>
      <c r="B2122" t="inlineStr">
        <is>
          <t>0000100539</t>
        </is>
      </c>
      <c r="C2122" s="3" t="n">
        <v>46008</v>
      </c>
      <c r="D2122" s="3" t="n">
        <v>46053</v>
      </c>
      <c r="E2122" s="4" t="n">
        <v>220.68</v>
      </c>
      <c r="F2122">
        <f>Summary!$B$3-D2122</f>
        <v/>
      </c>
      <c r="G2122">
        <f>IF(D2122&gt;Summary!$B$3,"Current",IF(F2122&lt;=30,"0-30",IF(F2122&lt;=60,"31-60",IF(F2122&lt;=90,"61-90","90+"))))</f>
        <v/>
      </c>
    </row>
    <row r="2123">
      <c r="A2123" t="inlineStr">
        <is>
          <t>0009029384</t>
        </is>
      </c>
      <c r="B2123" t="inlineStr">
        <is>
          <t>0000100095</t>
        </is>
      </c>
      <c r="C2123" s="3" t="n">
        <v>46009</v>
      </c>
      <c r="D2123" s="3" t="n">
        <v>46054</v>
      </c>
      <c r="E2123" s="4" t="n">
        <v>351.28</v>
      </c>
      <c r="F2123">
        <f>Summary!$B$3-D2123</f>
        <v/>
      </c>
      <c r="G2123">
        <f>IF(D2123&gt;Summary!$B$3,"Current",IF(F2123&lt;=30,"0-30",IF(F2123&lt;=60,"31-60",IF(F2123&lt;=90,"61-90","90+"))))</f>
        <v/>
      </c>
    </row>
    <row r="2124">
      <c r="A2124" t="inlineStr">
        <is>
          <t>0009029385</t>
        </is>
      </c>
      <c r="B2124" t="inlineStr">
        <is>
          <t>0000100340</t>
        </is>
      </c>
      <c r="C2124" s="3" t="n">
        <v>46013</v>
      </c>
      <c r="D2124" s="3" t="n">
        <v>46043</v>
      </c>
      <c r="E2124" s="4" t="n">
        <v>827.15</v>
      </c>
      <c r="F2124">
        <f>Summary!$B$3-D2124</f>
        <v/>
      </c>
      <c r="G2124">
        <f>IF(D2124&gt;Summary!$B$3,"Current",IF(F2124&lt;=30,"0-30",IF(F2124&lt;=60,"31-60",IF(F2124&lt;=90,"61-90","90+"))))</f>
        <v/>
      </c>
    </row>
    <row r="2125">
      <c r="A2125" t="inlineStr">
        <is>
          <t>0009029386</t>
        </is>
      </c>
      <c r="B2125" t="inlineStr">
        <is>
          <t>0000100202</t>
        </is>
      </c>
      <c r="C2125" s="3" t="n">
        <v>46005</v>
      </c>
      <c r="D2125" s="3" t="n">
        <v>46065</v>
      </c>
      <c r="E2125" s="4" t="n">
        <v>496.09</v>
      </c>
      <c r="F2125">
        <f>Summary!$B$3-D2125</f>
        <v/>
      </c>
      <c r="G2125">
        <f>IF(D2125&gt;Summary!$B$3,"Current",IF(F2125&lt;=30,"0-30",IF(F2125&lt;=60,"31-60",IF(F2125&lt;=90,"61-90","90+"))))</f>
        <v/>
      </c>
    </row>
    <row r="2126">
      <c r="A2126" t="inlineStr">
        <is>
          <t>0009029387</t>
        </is>
      </c>
      <c r="B2126" t="inlineStr">
        <is>
          <t>0000100521</t>
        </is>
      </c>
      <c r="C2126" s="3" t="n">
        <v>46007</v>
      </c>
      <c r="D2126" s="3" t="n">
        <v>46037</v>
      </c>
      <c r="E2126" s="4" t="n">
        <v>414.05</v>
      </c>
      <c r="F2126">
        <f>Summary!$B$3-D2126</f>
        <v/>
      </c>
      <c r="G2126">
        <f>IF(D2126&gt;Summary!$B$3,"Current",IF(F2126&lt;=30,"0-30",IF(F2126&lt;=60,"31-60",IF(F2126&lt;=90,"61-90","90+"))))</f>
        <v/>
      </c>
    </row>
    <row r="2127">
      <c r="A2127" t="inlineStr">
        <is>
          <t>0009029388</t>
        </is>
      </c>
      <c r="B2127" t="inlineStr">
        <is>
          <t>0000100218</t>
        </is>
      </c>
      <c r="C2127" s="3" t="n">
        <v>46015</v>
      </c>
      <c r="D2127" s="3" t="n">
        <v>46060</v>
      </c>
      <c r="E2127" s="4" t="n">
        <v>1406.6</v>
      </c>
      <c r="F2127">
        <f>Summary!$B$3-D2127</f>
        <v/>
      </c>
      <c r="G2127">
        <f>IF(D2127&gt;Summary!$B$3,"Current",IF(F2127&lt;=30,"0-30",IF(F2127&lt;=60,"31-60",IF(F2127&lt;=90,"61-90","90+"))))</f>
        <v/>
      </c>
    </row>
    <row r="2128">
      <c r="A2128" t="inlineStr">
        <is>
          <t>0009029389</t>
        </is>
      </c>
      <c r="B2128" t="inlineStr">
        <is>
          <t>0000100525</t>
        </is>
      </c>
      <c r="C2128" s="3" t="n">
        <v>46008</v>
      </c>
      <c r="D2128" s="3" t="n">
        <v>46053</v>
      </c>
      <c r="E2128" s="4" t="n">
        <v>1097.87</v>
      </c>
      <c r="F2128">
        <f>Summary!$B$3-D2128</f>
        <v/>
      </c>
      <c r="G2128">
        <f>IF(D2128&gt;Summary!$B$3,"Current",IF(F2128&lt;=30,"0-30",IF(F2128&lt;=60,"31-60",IF(F2128&lt;=90,"61-90","90+"))))</f>
        <v/>
      </c>
    </row>
    <row r="2129">
      <c r="A2129" t="inlineStr">
        <is>
          <t>0009029390</t>
        </is>
      </c>
      <c r="B2129" t="inlineStr">
        <is>
          <t>0000100274</t>
        </is>
      </c>
      <c r="C2129" s="3" t="n">
        <v>46009</v>
      </c>
      <c r="D2129" s="3" t="n">
        <v>46054</v>
      </c>
      <c r="E2129" s="4" t="n">
        <v>629.54</v>
      </c>
      <c r="F2129">
        <f>Summary!$B$3-D2129</f>
        <v/>
      </c>
      <c r="G2129">
        <f>IF(D2129&gt;Summary!$B$3,"Current",IF(F2129&lt;=30,"0-30",IF(F2129&lt;=60,"31-60",IF(F2129&lt;=90,"61-90","90+"))))</f>
        <v/>
      </c>
    </row>
    <row r="2130">
      <c r="A2130" t="inlineStr">
        <is>
          <t>0009029391</t>
        </is>
      </c>
      <c r="B2130" t="inlineStr">
        <is>
          <t>0000100383</t>
        </is>
      </c>
      <c r="C2130" s="3" t="n">
        <v>46012</v>
      </c>
      <c r="D2130" s="3" t="n">
        <v>46042</v>
      </c>
      <c r="E2130" s="4" t="n">
        <v>3211.14</v>
      </c>
      <c r="F2130">
        <f>Summary!$B$3-D2130</f>
        <v/>
      </c>
      <c r="G2130">
        <f>IF(D2130&gt;Summary!$B$3,"Current",IF(F2130&lt;=30,"0-30",IF(F2130&lt;=60,"31-60",IF(F2130&lt;=90,"61-90","90+"))))</f>
        <v/>
      </c>
    </row>
    <row r="2131">
      <c r="A2131" t="inlineStr">
        <is>
          <t>0009029392</t>
        </is>
      </c>
      <c r="B2131" t="inlineStr">
        <is>
          <t>0000100124</t>
        </is>
      </c>
      <c r="C2131" s="3" t="n">
        <v>46012</v>
      </c>
      <c r="D2131" s="3" t="n">
        <v>46042</v>
      </c>
      <c r="E2131" s="4" t="n">
        <v>1491.51</v>
      </c>
      <c r="F2131">
        <f>Summary!$B$3-D2131</f>
        <v/>
      </c>
      <c r="G2131">
        <f>IF(D2131&gt;Summary!$B$3,"Current",IF(F2131&lt;=30,"0-30",IF(F2131&lt;=60,"31-60",IF(F2131&lt;=90,"61-90","90+"))))</f>
        <v/>
      </c>
    </row>
    <row r="2132">
      <c r="A2132" t="inlineStr">
        <is>
          <t>0009029393</t>
        </is>
      </c>
      <c r="B2132" t="inlineStr">
        <is>
          <t>0000100069</t>
        </is>
      </c>
      <c r="C2132" s="3" t="n">
        <v>46012</v>
      </c>
      <c r="D2132" s="3" t="n">
        <v>46042</v>
      </c>
      <c r="E2132" s="4" t="n">
        <v>2807.69</v>
      </c>
      <c r="F2132">
        <f>Summary!$B$3-D2132</f>
        <v/>
      </c>
      <c r="G2132">
        <f>IF(D2132&gt;Summary!$B$3,"Current",IF(F2132&lt;=30,"0-30",IF(F2132&lt;=60,"31-60",IF(F2132&lt;=90,"61-90","90+"))))</f>
        <v/>
      </c>
    </row>
    <row r="2133">
      <c r="A2133" t="inlineStr">
        <is>
          <t>0009029394</t>
        </is>
      </c>
      <c r="B2133" t="inlineStr">
        <is>
          <t>0000100218</t>
        </is>
      </c>
      <c r="C2133" s="3" t="n">
        <v>46016</v>
      </c>
      <c r="D2133" s="3" t="n">
        <v>46061</v>
      </c>
      <c r="E2133" s="4" t="n">
        <v>410.24</v>
      </c>
      <c r="F2133">
        <f>Summary!$B$3-D2133</f>
        <v/>
      </c>
      <c r="G2133">
        <f>IF(D2133&gt;Summary!$B$3,"Current",IF(F2133&lt;=30,"0-30",IF(F2133&lt;=60,"31-60",IF(F2133&lt;=90,"61-90","90+"))))</f>
        <v/>
      </c>
    </row>
    <row r="2134">
      <c r="A2134" t="inlineStr">
        <is>
          <t>0009029395</t>
        </is>
      </c>
      <c r="B2134" t="inlineStr">
        <is>
          <t>0000100339</t>
        </is>
      </c>
      <c r="C2134" s="3" t="n">
        <v>46005</v>
      </c>
      <c r="D2134" s="3" t="n">
        <v>46035</v>
      </c>
      <c r="E2134" s="4" t="n">
        <v>1434.32</v>
      </c>
      <c r="F2134">
        <f>Summary!$B$3-D2134</f>
        <v/>
      </c>
      <c r="G2134">
        <f>IF(D2134&gt;Summary!$B$3,"Current",IF(F2134&lt;=30,"0-30",IF(F2134&lt;=60,"31-60",IF(F2134&lt;=90,"61-90","90+"))))</f>
        <v/>
      </c>
    </row>
    <row r="2135">
      <c r="A2135" t="inlineStr">
        <is>
          <t>0009029396</t>
        </is>
      </c>
      <c r="B2135" t="inlineStr">
        <is>
          <t>0000100184</t>
        </is>
      </c>
      <c r="C2135" s="3" t="n">
        <v>46011</v>
      </c>
      <c r="D2135" s="3" t="n">
        <v>46071</v>
      </c>
      <c r="E2135" s="4" t="n">
        <v>477.65</v>
      </c>
      <c r="F2135">
        <f>Summary!$B$3-D2135</f>
        <v/>
      </c>
      <c r="G2135">
        <f>IF(D2135&gt;Summary!$B$3,"Current",IF(F2135&lt;=30,"0-30",IF(F2135&lt;=60,"31-60",IF(F2135&lt;=90,"61-90","90+"))))</f>
        <v/>
      </c>
    </row>
    <row r="2136">
      <c r="A2136" t="inlineStr">
        <is>
          <t>0009029397</t>
        </is>
      </c>
      <c r="B2136" t="inlineStr">
        <is>
          <t>0000100478</t>
        </is>
      </c>
      <c r="C2136" s="3" t="n">
        <v>46010</v>
      </c>
      <c r="D2136" s="3" t="n">
        <v>46055</v>
      </c>
      <c r="E2136" s="4" t="n">
        <v>115.25</v>
      </c>
      <c r="F2136">
        <f>Summary!$B$3-D2136</f>
        <v/>
      </c>
      <c r="G2136">
        <f>IF(D2136&gt;Summary!$B$3,"Current",IF(F2136&lt;=30,"0-30",IF(F2136&lt;=60,"31-60",IF(F2136&lt;=90,"61-90","90+"))))</f>
        <v/>
      </c>
    </row>
    <row r="2137">
      <c r="A2137" t="inlineStr">
        <is>
          <t>0009029398</t>
        </is>
      </c>
      <c r="B2137" t="inlineStr">
        <is>
          <t>0000100371</t>
        </is>
      </c>
      <c r="C2137" s="3" t="n">
        <v>46016</v>
      </c>
      <c r="D2137" s="3" t="n">
        <v>46046</v>
      </c>
      <c r="E2137" s="4" t="n">
        <v>1376.03</v>
      </c>
      <c r="F2137">
        <f>Summary!$B$3-D2137</f>
        <v/>
      </c>
      <c r="G2137">
        <f>IF(D2137&gt;Summary!$B$3,"Current",IF(F2137&lt;=30,"0-30",IF(F2137&lt;=60,"31-60",IF(F2137&lt;=90,"61-90","90+"))))</f>
        <v/>
      </c>
    </row>
    <row r="2138">
      <c r="A2138" t="inlineStr">
        <is>
          <t>0009029399</t>
        </is>
      </c>
      <c r="B2138" t="inlineStr">
        <is>
          <t>0000100513</t>
        </is>
      </c>
      <c r="C2138" s="3" t="n">
        <v>46006</v>
      </c>
      <c r="D2138" s="3" t="n">
        <v>46066</v>
      </c>
      <c r="E2138" s="4" t="n">
        <v>4772.54</v>
      </c>
      <c r="F2138">
        <f>Summary!$B$3-D2138</f>
        <v/>
      </c>
      <c r="G2138">
        <f>IF(D2138&gt;Summary!$B$3,"Current",IF(F2138&lt;=30,"0-30",IF(F2138&lt;=60,"31-60",IF(F2138&lt;=90,"61-90","90+"))))</f>
        <v/>
      </c>
    </row>
    <row r="2139">
      <c r="A2139" t="inlineStr">
        <is>
          <t>0009029400</t>
        </is>
      </c>
      <c r="B2139" t="inlineStr">
        <is>
          <t>0000100291</t>
        </is>
      </c>
      <c r="C2139" s="3" t="n">
        <v>46008</v>
      </c>
      <c r="D2139" s="3" t="n">
        <v>46068</v>
      </c>
      <c r="E2139" s="4" t="n">
        <v>2489.15</v>
      </c>
      <c r="F2139">
        <f>Summary!$B$3-D2139</f>
        <v/>
      </c>
      <c r="G2139">
        <f>IF(D2139&gt;Summary!$B$3,"Current",IF(F2139&lt;=30,"0-30",IF(F2139&lt;=60,"31-60",IF(F2139&lt;=90,"61-90","90+"))))</f>
        <v/>
      </c>
    </row>
    <row r="2140">
      <c r="A2140" t="inlineStr">
        <is>
          <t>0009029401</t>
        </is>
      </c>
      <c r="B2140" t="inlineStr">
        <is>
          <t>0000100073</t>
        </is>
      </c>
      <c r="C2140" s="3" t="n">
        <v>46014</v>
      </c>
      <c r="D2140" s="3" t="n">
        <v>46059</v>
      </c>
      <c r="E2140" s="4" t="n">
        <v>331.58</v>
      </c>
      <c r="F2140">
        <f>Summary!$B$3-D2140</f>
        <v/>
      </c>
      <c r="G2140">
        <f>IF(D2140&gt;Summary!$B$3,"Current",IF(F2140&lt;=30,"0-30",IF(F2140&lt;=60,"31-60",IF(F2140&lt;=90,"61-90","90+"))))</f>
        <v/>
      </c>
    </row>
    <row r="2141">
      <c r="A2141" t="inlineStr">
        <is>
          <t>0009029402</t>
        </is>
      </c>
      <c r="B2141" t="inlineStr">
        <is>
          <t>0000100071</t>
        </is>
      </c>
      <c r="C2141" s="3" t="n">
        <v>46011</v>
      </c>
      <c r="D2141" s="3" t="n">
        <v>46056</v>
      </c>
      <c r="E2141" s="4" t="n">
        <v>417.74</v>
      </c>
      <c r="F2141">
        <f>Summary!$B$3-D2141</f>
        <v/>
      </c>
      <c r="G2141">
        <f>IF(D2141&gt;Summary!$B$3,"Current",IF(F2141&lt;=30,"0-30",IF(F2141&lt;=60,"31-60",IF(F2141&lt;=90,"61-90","90+"))))</f>
        <v/>
      </c>
    </row>
    <row r="2142">
      <c r="A2142" t="inlineStr">
        <is>
          <t>0009029403</t>
        </is>
      </c>
      <c r="B2142" t="inlineStr">
        <is>
          <t>0000100270</t>
        </is>
      </c>
      <c r="C2142" s="3" t="n">
        <v>46016</v>
      </c>
      <c r="D2142" s="3" t="n">
        <v>46061</v>
      </c>
      <c r="E2142" s="4" t="n">
        <v>7241.47</v>
      </c>
      <c r="F2142">
        <f>Summary!$B$3-D2142</f>
        <v/>
      </c>
      <c r="G2142">
        <f>IF(D2142&gt;Summary!$B$3,"Current",IF(F2142&lt;=30,"0-30",IF(F2142&lt;=60,"31-60",IF(F2142&lt;=90,"61-90","90+"))))</f>
        <v/>
      </c>
    </row>
    <row r="2143">
      <c r="A2143" t="inlineStr">
        <is>
          <t>0009029404</t>
        </is>
      </c>
      <c r="B2143" t="inlineStr">
        <is>
          <t>0000100326</t>
        </is>
      </c>
      <c r="C2143" s="3" t="n">
        <v>46012</v>
      </c>
      <c r="D2143" s="3" t="n">
        <v>46042</v>
      </c>
      <c r="E2143" s="4" t="n">
        <v>235.32</v>
      </c>
      <c r="F2143">
        <f>Summary!$B$3-D2143</f>
        <v/>
      </c>
      <c r="G2143">
        <f>IF(D2143&gt;Summary!$B$3,"Current",IF(F2143&lt;=30,"0-30",IF(F2143&lt;=60,"31-60",IF(F2143&lt;=90,"61-90","90+"))))</f>
        <v/>
      </c>
    </row>
    <row r="2144">
      <c r="A2144" t="inlineStr">
        <is>
          <t>0009029405</t>
        </is>
      </c>
      <c r="B2144" t="inlineStr">
        <is>
          <t>0000100068</t>
        </is>
      </c>
      <c r="C2144" s="3" t="n">
        <v>46011</v>
      </c>
      <c r="D2144" s="3" t="n">
        <v>46041</v>
      </c>
      <c r="E2144" s="4" t="n">
        <v>1266.5</v>
      </c>
      <c r="F2144">
        <f>Summary!$B$3-D2144</f>
        <v/>
      </c>
      <c r="G2144">
        <f>IF(D2144&gt;Summary!$B$3,"Current",IF(F2144&lt;=30,"0-30",IF(F2144&lt;=60,"31-60",IF(F2144&lt;=90,"61-90","90+"))))</f>
        <v/>
      </c>
    </row>
    <row r="2145">
      <c r="A2145" t="inlineStr">
        <is>
          <t>0009029406</t>
        </is>
      </c>
      <c r="B2145" t="inlineStr">
        <is>
          <t>0000100383</t>
        </is>
      </c>
      <c r="C2145" s="3" t="n">
        <v>46011</v>
      </c>
      <c r="D2145" s="3" t="n">
        <v>46041</v>
      </c>
      <c r="E2145" s="4" t="n">
        <v>15998.51</v>
      </c>
      <c r="F2145">
        <f>Summary!$B$3-D2145</f>
        <v/>
      </c>
      <c r="G2145">
        <f>IF(D2145&gt;Summary!$B$3,"Current",IF(F2145&lt;=30,"0-30",IF(F2145&lt;=60,"31-60",IF(F2145&lt;=90,"61-90","90+"))))</f>
        <v/>
      </c>
    </row>
    <row r="2146">
      <c r="A2146" t="inlineStr">
        <is>
          <t>0009029407</t>
        </is>
      </c>
      <c r="B2146" t="inlineStr">
        <is>
          <t>0000100097</t>
        </is>
      </c>
      <c r="C2146" s="3" t="n">
        <v>46008</v>
      </c>
      <c r="D2146" s="3" t="n">
        <v>46053</v>
      </c>
      <c r="E2146" s="4" t="n">
        <v>1276.99</v>
      </c>
      <c r="F2146">
        <f>Summary!$B$3-D2146</f>
        <v/>
      </c>
      <c r="G2146">
        <f>IF(D2146&gt;Summary!$B$3,"Current",IF(F2146&lt;=30,"0-30",IF(F2146&lt;=60,"31-60",IF(F2146&lt;=90,"61-90","90+"))))</f>
        <v/>
      </c>
    </row>
    <row r="2147">
      <c r="A2147" t="inlineStr">
        <is>
          <t>0009029408</t>
        </is>
      </c>
      <c r="B2147" t="inlineStr">
        <is>
          <t>0000100538</t>
        </is>
      </c>
      <c r="C2147" s="3" t="n">
        <v>46010</v>
      </c>
      <c r="D2147" s="3" t="n">
        <v>46040</v>
      </c>
      <c r="E2147" s="4" t="n">
        <v>2711.34</v>
      </c>
      <c r="F2147">
        <f>Summary!$B$3-D2147</f>
        <v/>
      </c>
      <c r="G2147">
        <f>IF(D2147&gt;Summary!$B$3,"Current",IF(F2147&lt;=30,"0-30",IF(F2147&lt;=60,"31-60",IF(F2147&lt;=90,"61-90","90+"))))</f>
        <v/>
      </c>
    </row>
    <row r="2148">
      <c r="A2148" t="inlineStr">
        <is>
          <t>0009029409</t>
        </is>
      </c>
      <c r="B2148" t="inlineStr">
        <is>
          <t>0000100102</t>
        </is>
      </c>
      <c r="C2148" s="3" t="n">
        <v>46011</v>
      </c>
      <c r="D2148" s="3" t="n">
        <v>46041</v>
      </c>
      <c r="E2148" s="4" t="n">
        <v>1816.55</v>
      </c>
      <c r="F2148">
        <f>Summary!$B$3-D2148</f>
        <v/>
      </c>
      <c r="G2148">
        <f>IF(D2148&gt;Summary!$B$3,"Current",IF(F2148&lt;=30,"0-30",IF(F2148&lt;=60,"31-60",IF(F2148&lt;=90,"61-90","90+"))))</f>
        <v/>
      </c>
    </row>
    <row r="2149">
      <c r="A2149" t="inlineStr">
        <is>
          <t>0009029410</t>
        </is>
      </c>
      <c r="B2149" t="inlineStr">
        <is>
          <t>0000100484</t>
        </is>
      </c>
      <c r="C2149" s="3" t="n">
        <v>46011</v>
      </c>
      <c r="D2149" s="3" t="n">
        <v>46071</v>
      </c>
      <c r="E2149" s="4" t="n">
        <v>3466.65</v>
      </c>
      <c r="F2149">
        <f>Summary!$B$3-D2149</f>
        <v/>
      </c>
      <c r="G2149">
        <f>IF(D2149&gt;Summary!$B$3,"Current",IF(F2149&lt;=30,"0-30",IF(F2149&lt;=60,"31-60",IF(F2149&lt;=90,"61-90","90+"))))</f>
        <v/>
      </c>
    </row>
    <row r="2150">
      <c r="A2150" t="inlineStr">
        <is>
          <t>0009029411</t>
        </is>
      </c>
      <c r="B2150" t="inlineStr">
        <is>
          <t>0000100352</t>
        </is>
      </c>
      <c r="C2150" s="3" t="n">
        <v>46015</v>
      </c>
      <c r="D2150" s="3" t="n">
        <v>46045</v>
      </c>
      <c r="E2150" s="4" t="n">
        <v>324.14</v>
      </c>
      <c r="F2150">
        <f>Summary!$B$3-D2150</f>
        <v/>
      </c>
      <c r="G2150">
        <f>IF(D2150&gt;Summary!$B$3,"Current",IF(F2150&lt;=30,"0-30",IF(F2150&lt;=60,"31-60",IF(F2150&lt;=90,"61-90","90+"))))</f>
        <v/>
      </c>
    </row>
    <row r="2151">
      <c r="A2151" t="inlineStr">
        <is>
          <t>0009029412</t>
        </is>
      </c>
      <c r="B2151" t="inlineStr">
        <is>
          <t>0000100371</t>
        </is>
      </c>
      <c r="C2151" s="3" t="n">
        <v>46013</v>
      </c>
      <c r="D2151" s="3" t="n">
        <v>46043</v>
      </c>
      <c r="E2151" s="4" t="n">
        <v>648.23</v>
      </c>
      <c r="F2151">
        <f>Summary!$B$3-D2151</f>
        <v/>
      </c>
      <c r="G2151">
        <f>IF(D2151&gt;Summary!$B$3,"Current",IF(F2151&lt;=30,"0-30",IF(F2151&lt;=60,"31-60",IF(F2151&lt;=90,"61-90","90+"))))</f>
        <v/>
      </c>
    </row>
    <row r="2152">
      <c r="A2152" t="inlineStr">
        <is>
          <t>0009029413</t>
        </is>
      </c>
      <c r="B2152" t="inlineStr">
        <is>
          <t>0000100222</t>
        </is>
      </c>
      <c r="C2152" s="3" t="n">
        <v>46011</v>
      </c>
      <c r="D2152" s="3" t="n">
        <v>46041</v>
      </c>
      <c r="E2152" s="4" t="n">
        <v>417.07</v>
      </c>
      <c r="F2152">
        <f>Summary!$B$3-D2152</f>
        <v/>
      </c>
      <c r="G2152">
        <f>IF(D2152&gt;Summary!$B$3,"Current",IF(F2152&lt;=30,"0-30",IF(F2152&lt;=60,"31-60",IF(F2152&lt;=90,"61-90","90+"))))</f>
        <v/>
      </c>
    </row>
    <row r="2153">
      <c r="A2153" t="inlineStr">
        <is>
          <t>0009029414</t>
        </is>
      </c>
      <c r="B2153" t="inlineStr">
        <is>
          <t>0000100409</t>
        </is>
      </c>
      <c r="C2153" s="3" t="n">
        <v>46013</v>
      </c>
      <c r="D2153" s="3" t="n">
        <v>46043</v>
      </c>
      <c r="E2153" s="4" t="n">
        <v>2052.77</v>
      </c>
      <c r="F2153">
        <f>Summary!$B$3-D2153</f>
        <v/>
      </c>
      <c r="G2153">
        <f>IF(D2153&gt;Summary!$B$3,"Current",IF(F2153&lt;=30,"0-30",IF(F2153&lt;=60,"31-60",IF(F2153&lt;=90,"61-90","90+"))))</f>
        <v/>
      </c>
    </row>
    <row r="2154">
      <c r="A2154" t="inlineStr">
        <is>
          <t>0009029415</t>
        </is>
      </c>
      <c r="B2154" t="inlineStr">
        <is>
          <t>0000100274</t>
        </is>
      </c>
      <c r="C2154" s="3" t="n">
        <v>46007</v>
      </c>
      <c r="D2154" s="3" t="n">
        <v>46052</v>
      </c>
      <c r="E2154" s="4" t="n">
        <v>579.35</v>
      </c>
      <c r="F2154">
        <f>Summary!$B$3-D2154</f>
        <v/>
      </c>
      <c r="G2154">
        <f>IF(D2154&gt;Summary!$B$3,"Current",IF(F2154&lt;=30,"0-30",IF(F2154&lt;=60,"31-60",IF(F2154&lt;=90,"61-90","90+"))))</f>
        <v/>
      </c>
    </row>
    <row r="2155">
      <c r="A2155" t="inlineStr">
        <is>
          <t>0009029416</t>
        </is>
      </c>
      <c r="B2155" t="inlineStr">
        <is>
          <t>0000100170</t>
        </is>
      </c>
      <c r="C2155" s="3" t="n">
        <v>46009</v>
      </c>
      <c r="D2155" s="3" t="n">
        <v>46039</v>
      </c>
      <c r="E2155" s="4" t="n">
        <v>114.82</v>
      </c>
      <c r="F2155">
        <f>Summary!$B$3-D2155</f>
        <v/>
      </c>
      <c r="G2155">
        <f>IF(D2155&gt;Summary!$B$3,"Current",IF(F2155&lt;=30,"0-30",IF(F2155&lt;=60,"31-60",IF(F2155&lt;=90,"61-90","90+"))))</f>
        <v/>
      </c>
    </row>
    <row r="2156">
      <c r="A2156" t="inlineStr">
        <is>
          <t>0009029419</t>
        </is>
      </c>
      <c r="B2156" t="inlineStr">
        <is>
          <t>0000100258</t>
        </is>
      </c>
      <c r="C2156" s="3" t="n">
        <v>46014</v>
      </c>
      <c r="D2156" s="3" t="n">
        <v>46044</v>
      </c>
      <c r="E2156" s="4" t="n">
        <v>588.79</v>
      </c>
      <c r="F2156">
        <f>Summary!$B$3-D2156</f>
        <v/>
      </c>
      <c r="G2156">
        <f>IF(D2156&gt;Summary!$B$3,"Current",IF(F2156&lt;=30,"0-30",IF(F2156&lt;=60,"31-60",IF(F2156&lt;=90,"61-90","90+"))))</f>
        <v/>
      </c>
    </row>
    <row r="2157">
      <c r="A2157" t="inlineStr">
        <is>
          <t>0009029420</t>
        </is>
      </c>
      <c r="B2157" t="inlineStr">
        <is>
          <t>0000100441</t>
        </is>
      </c>
      <c r="C2157" s="3" t="n">
        <v>46013</v>
      </c>
      <c r="D2157" s="3" t="n">
        <v>46058</v>
      </c>
      <c r="E2157" s="4" t="n">
        <v>131.61</v>
      </c>
      <c r="F2157">
        <f>Summary!$B$3-D2157</f>
        <v/>
      </c>
      <c r="G2157">
        <f>IF(D2157&gt;Summary!$B$3,"Current",IF(F2157&lt;=30,"0-30",IF(F2157&lt;=60,"31-60",IF(F2157&lt;=90,"61-90","90+"))))</f>
        <v/>
      </c>
    </row>
    <row r="2158">
      <c r="A2158" t="inlineStr">
        <is>
          <t>0009029421</t>
        </is>
      </c>
      <c r="B2158" t="inlineStr">
        <is>
          <t>0000100593</t>
        </is>
      </c>
      <c r="C2158" s="3" t="n">
        <v>46007</v>
      </c>
      <c r="D2158" s="3" t="n">
        <v>46067</v>
      </c>
      <c r="E2158" s="4" t="n">
        <v>942.87</v>
      </c>
      <c r="F2158">
        <f>Summary!$B$3-D2158</f>
        <v/>
      </c>
      <c r="G2158">
        <f>IF(D2158&gt;Summary!$B$3,"Current",IF(F2158&lt;=30,"0-30",IF(F2158&lt;=60,"31-60",IF(F2158&lt;=90,"61-90","90+"))))</f>
        <v/>
      </c>
    </row>
    <row r="2159">
      <c r="A2159" t="inlineStr">
        <is>
          <t>0009029422</t>
        </is>
      </c>
      <c r="B2159" t="inlineStr">
        <is>
          <t>0000100203</t>
        </is>
      </c>
      <c r="C2159" s="3" t="n">
        <v>46013</v>
      </c>
      <c r="D2159" s="3" t="n">
        <v>46058</v>
      </c>
      <c r="E2159" s="4" t="n">
        <v>1997.06</v>
      </c>
      <c r="F2159">
        <f>Summary!$B$3-D2159</f>
        <v/>
      </c>
      <c r="G2159">
        <f>IF(D2159&gt;Summary!$B$3,"Current",IF(F2159&lt;=30,"0-30",IF(F2159&lt;=60,"31-60",IF(F2159&lt;=90,"61-90","90+"))))</f>
        <v/>
      </c>
    </row>
    <row r="2160">
      <c r="A2160" t="inlineStr">
        <is>
          <t>0009029423</t>
        </is>
      </c>
      <c r="B2160" t="inlineStr">
        <is>
          <t>0000100043</t>
        </is>
      </c>
      <c r="C2160" s="3" t="n">
        <v>46014</v>
      </c>
      <c r="D2160" s="3" t="n">
        <v>46044</v>
      </c>
      <c r="E2160" s="4" t="n">
        <v>2780.49</v>
      </c>
      <c r="F2160">
        <f>Summary!$B$3-D2160</f>
        <v/>
      </c>
      <c r="G2160">
        <f>IF(D2160&gt;Summary!$B$3,"Current",IF(F2160&lt;=30,"0-30",IF(F2160&lt;=60,"31-60",IF(F2160&lt;=90,"61-90","90+"))))</f>
        <v/>
      </c>
    </row>
    <row r="2161">
      <c r="A2161" t="inlineStr">
        <is>
          <t>0009029424</t>
        </is>
      </c>
      <c r="B2161" t="inlineStr">
        <is>
          <t>0000100516</t>
        </is>
      </c>
      <c r="C2161" s="3" t="n">
        <v>46007</v>
      </c>
      <c r="D2161" s="3" t="n">
        <v>46037</v>
      </c>
      <c r="E2161" s="4" t="n">
        <v>668.26</v>
      </c>
      <c r="F2161">
        <f>Summary!$B$3-D2161</f>
        <v/>
      </c>
      <c r="G2161">
        <f>IF(D2161&gt;Summary!$B$3,"Current",IF(F2161&lt;=30,"0-30",IF(F2161&lt;=60,"31-60",IF(F2161&lt;=90,"61-90","90+"))))</f>
        <v/>
      </c>
    </row>
    <row r="2162">
      <c r="A2162" t="inlineStr">
        <is>
          <t>0009029425</t>
        </is>
      </c>
      <c r="B2162" t="inlineStr">
        <is>
          <t>0000100058</t>
        </is>
      </c>
      <c r="C2162" s="3" t="n">
        <v>46009</v>
      </c>
      <c r="D2162" s="3" t="n">
        <v>46054</v>
      </c>
      <c r="E2162" s="4" t="n">
        <v>141.93</v>
      </c>
      <c r="F2162">
        <f>Summary!$B$3-D2162</f>
        <v/>
      </c>
      <c r="G2162">
        <f>IF(D2162&gt;Summary!$B$3,"Current",IF(F2162&lt;=30,"0-30",IF(F2162&lt;=60,"31-60",IF(F2162&lt;=90,"61-90","90+"))))</f>
        <v/>
      </c>
    </row>
    <row r="2163">
      <c r="A2163" t="inlineStr">
        <is>
          <t>0009029426</t>
        </is>
      </c>
      <c r="B2163" t="inlineStr">
        <is>
          <t>0000100165</t>
        </is>
      </c>
      <c r="C2163" s="3" t="n">
        <v>46013</v>
      </c>
      <c r="D2163" s="3" t="n">
        <v>46043</v>
      </c>
      <c r="E2163" s="4" t="n">
        <v>398.76</v>
      </c>
      <c r="F2163">
        <f>Summary!$B$3-D2163</f>
        <v/>
      </c>
      <c r="G2163">
        <f>IF(D2163&gt;Summary!$B$3,"Current",IF(F2163&lt;=30,"0-30",IF(F2163&lt;=60,"31-60",IF(F2163&lt;=90,"61-90","90+"))))</f>
        <v/>
      </c>
    </row>
    <row r="2164">
      <c r="A2164" t="inlineStr">
        <is>
          <t>0009029427</t>
        </is>
      </c>
      <c r="B2164" t="inlineStr">
        <is>
          <t>0000100299</t>
        </is>
      </c>
      <c r="C2164" s="3" t="n">
        <v>46012</v>
      </c>
      <c r="D2164" s="3" t="n">
        <v>46057</v>
      </c>
      <c r="E2164" s="4" t="n">
        <v>6044.01</v>
      </c>
      <c r="F2164">
        <f>Summary!$B$3-D2164</f>
        <v/>
      </c>
      <c r="G2164">
        <f>IF(D2164&gt;Summary!$B$3,"Current",IF(F2164&lt;=30,"0-30",IF(F2164&lt;=60,"31-60",IF(F2164&lt;=90,"61-90","90+"))))</f>
        <v/>
      </c>
    </row>
    <row r="2165">
      <c r="A2165" t="inlineStr">
        <is>
          <t>0009029428</t>
        </is>
      </c>
      <c r="B2165" t="inlineStr">
        <is>
          <t>0000100478</t>
        </is>
      </c>
      <c r="C2165" s="3" t="n">
        <v>46012</v>
      </c>
      <c r="D2165" s="3" t="n">
        <v>46057</v>
      </c>
      <c r="E2165" s="4" t="n">
        <v>1276.01</v>
      </c>
      <c r="F2165">
        <f>Summary!$B$3-D2165</f>
        <v/>
      </c>
      <c r="G2165">
        <f>IF(D2165&gt;Summary!$B$3,"Current",IF(F2165&lt;=30,"0-30",IF(F2165&lt;=60,"31-60",IF(F2165&lt;=90,"61-90","90+"))))</f>
        <v/>
      </c>
    </row>
    <row r="2166">
      <c r="A2166" t="inlineStr">
        <is>
          <t>0009029429</t>
        </is>
      </c>
      <c r="B2166" t="inlineStr">
        <is>
          <t>0000100267</t>
        </is>
      </c>
      <c r="C2166" s="3" t="n">
        <v>46014</v>
      </c>
      <c r="D2166" s="3" t="n">
        <v>46059</v>
      </c>
      <c r="E2166" s="4" t="n">
        <v>277.7</v>
      </c>
      <c r="F2166">
        <f>Summary!$B$3-D2166</f>
        <v/>
      </c>
      <c r="G2166">
        <f>IF(D2166&gt;Summary!$B$3,"Current",IF(F2166&lt;=30,"0-30",IF(F2166&lt;=60,"31-60",IF(F2166&lt;=90,"61-90","90+"))))</f>
        <v/>
      </c>
    </row>
    <row r="2167">
      <c r="A2167" t="inlineStr">
        <is>
          <t>0009029430</t>
        </is>
      </c>
      <c r="B2167" t="inlineStr">
        <is>
          <t>0000100484</t>
        </is>
      </c>
      <c r="C2167" s="3" t="n">
        <v>46013</v>
      </c>
      <c r="D2167" s="3" t="n">
        <v>46073</v>
      </c>
      <c r="E2167" s="4" t="n">
        <v>466.42</v>
      </c>
      <c r="F2167">
        <f>Summary!$B$3-D2167</f>
        <v/>
      </c>
      <c r="G2167">
        <f>IF(D2167&gt;Summary!$B$3,"Current",IF(F2167&lt;=30,"0-30",IF(F2167&lt;=60,"31-60",IF(F2167&lt;=90,"61-90","90+"))))</f>
        <v/>
      </c>
    </row>
    <row r="2168">
      <c r="A2168" t="inlineStr">
        <is>
          <t>0009029431</t>
        </is>
      </c>
      <c r="B2168" t="inlineStr">
        <is>
          <t>0000100400</t>
        </is>
      </c>
      <c r="C2168" s="3" t="n">
        <v>46010</v>
      </c>
      <c r="D2168" s="3" t="n">
        <v>46040</v>
      </c>
      <c r="E2168" s="4" t="n">
        <v>1434.74</v>
      </c>
      <c r="F2168">
        <f>Summary!$B$3-D2168</f>
        <v/>
      </c>
      <c r="G2168">
        <f>IF(D2168&gt;Summary!$B$3,"Current",IF(F2168&lt;=30,"0-30",IF(F2168&lt;=60,"31-60",IF(F2168&lt;=90,"61-90","90+"))))</f>
        <v/>
      </c>
    </row>
    <row r="2169">
      <c r="A2169" t="inlineStr">
        <is>
          <t>0009029432</t>
        </is>
      </c>
      <c r="B2169" t="inlineStr">
        <is>
          <t>0000100261</t>
        </is>
      </c>
      <c r="C2169" s="3" t="n">
        <v>46007</v>
      </c>
      <c r="D2169" s="3" t="n">
        <v>46052</v>
      </c>
      <c r="E2169" s="4" t="n">
        <v>37.16</v>
      </c>
      <c r="F2169">
        <f>Summary!$B$3-D2169</f>
        <v/>
      </c>
      <c r="G2169">
        <f>IF(D2169&gt;Summary!$B$3,"Current",IF(F2169&lt;=30,"0-30",IF(F2169&lt;=60,"31-60",IF(F2169&lt;=90,"61-90","90+"))))</f>
        <v/>
      </c>
    </row>
    <row r="2170">
      <c r="A2170" t="inlineStr">
        <is>
          <t>0009029434</t>
        </is>
      </c>
      <c r="B2170" t="inlineStr">
        <is>
          <t>0000100254</t>
        </is>
      </c>
      <c r="C2170" s="3" t="n">
        <v>46008</v>
      </c>
      <c r="D2170" s="3" t="n">
        <v>46038</v>
      </c>
      <c r="E2170" s="4" t="n">
        <v>234.1</v>
      </c>
      <c r="F2170">
        <f>Summary!$B$3-D2170</f>
        <v/>
      </c>
      <c r="G2170">
        <f>IF(D2170&gt;Summary!$B$3,"Current",IF(F2170&lt;=30,"0-30",IF(F2170&lt;=60,"31-60",IF(F2170&lt;=90,"61-90","90+"))))</f>
        <v/>
      </c>
    </row>
    <row r="2171">
      <c r="A2171" t="inlineStr">
        <is>
          <t>0009029435</t>
        </is>
      </c>
      <c r="B2171" t="inlineStr">
        <is>
          <t>0000100018</t>
        </is>
      </c>
      <c r="C2171" s="3" t="n">
        <v>46007</v>
      </c>
      <c r="D2171" s="3" t="n">
        <v>46037</v>
      </c>
      <c r="E2171" s="4" t="n">
        <v>528.35</v>
      </c>
      <c r="F2171">
        <f>Summary!$B$3-D2171</f>
        <v/>
      </c>
      <c r="G2171">
        <f>IF(D2171&gt;Summary!$B$3,"Current",IF(F2171&lt;=30,"0-30",IF(F2171&lt;=60,"31-60",IF(F2171&lt;=90,"61-90","90+"))))</f>
        <v/>
      </c>
    </row>
    <row r="2172">
      <c r="A2172" t="inlineStr">
        <is>
          <t>0009029436</t>
        </is>
      </c>
      <c r="B2172" t="inlineStr">
        <is>
          <t>0000100074</t>
        </is>
      </c>
      <c r="C2172" s="3" t="n">
        <v>46015</v>
      </c>
      <c r="D2172" s="3" t="n">
        <v>46060</v>
      </c>
      <c r="E2172" s="4" t="n">
        <v>392.56</v>
      </c>
      <c r="F2172">
        <f>Summary!$B$3-D2172</f>
        <v/>
      </c>
      <c r="G2172">
        <f>IF(D2172&gt;Summary!$B$3,"Current",IF(F2172&lt;=30,"0-30",IF(F2172&lt;=60,"31-60",IF(F2172&lt;=90,"61-90","90+"))))</f>
        <v/>
      </c>
    </row>
    <row r="2173">
      <c r="A2173" t="inlineStr">
        <is>
          <t>0009029437</t>
        </is>
      </c>
      <c r="B2173" t="inlineStr">
        <is>
          <t>0000100453</t>
        </is>
      </c>
      <c r="C2173" s="3" t="n">
        <v>46016</v>
      </c>
      <c r="D2173" s="3" t="n">
        <v>46046</v>
      </c>
      <c r="E2173" s="4" t="n">
        <v>819.03</v>
      </c>
      <c r="F2173">
        <f>Summary!$B$3-D2173</f>
        <v/>
      </c>
      <c r="G2173">
        <f>IF(D2173&gt;Summary!$B$3,"Current",IF(F2173&lt;=30,"0-30",IF(F2173&lt;=60,"31-60",IF(F2173&lt;=90,"61-90","90+"))))</f>
        <v/>
      </c>
    </row>
    <row r="2174">
      <c r="A2174" t="inlineStr">
        <is>
          <t>0009029438</t>
        </is>
      </c>
      <c r="B2174" t="inlineStr">
        <is>
          <t>0000100581</t>
        </is>
      </c>
      <c r="C2174" s="3" t="n">
        <v>46009</v>
      </c>
      <c r="D2174" s="3" t="n">
        <v>46039</v>
      </c>
      <c r="E2174" s="4" t="n">
        <v>302.42</v>
      </c>
      <c r="F2174">
        <f>Summary!$B$3-D2174</f>
        <v/>
      </c>
      <c r="G2174">
        <f>IF(D2174&gt;Summary!$B$3,"Current",IF(F2174&lt;=30,"0-30",IF(F2174&lt;=60,"31-60",IF(F2174&lt;=90,"61-90","90+"))))</f>
        <v/>
      </c>
    </row>
    <row r="2175">
      <c r="A2175" t="inlineStr">
        <is>
          <t>0009029439</t>
        </is>
      </c>
      <c r="B2175" t="inlineStr">
        <is>
          <t>0000100258</t>
        </is>
      </c>
      <c r="C2175" s="3" t="n">
        <v>46014</v>
      </c>
      <c r="D2175" s="3" t="n">
        <v>46044</v>
      </c>
      <c r="E2175" s="4" t="n">
        <v>405.14</v>
      </c>
      <c r="F2175">
        <f>Summary!$B$3-D2175</f>
        <v/>
      </c>
      <c r="G2175">
        <f>IF(D2175&gt;Summary!$B$3,"Current",IF(F2175&lt;=30,"0-30",IF(F2175&lt;=60,"31-60",IF(F2175&lt;=90,"61-90","90+"))))</f>
        <v/>
      </c>
    </row>
    <row r="2176">
      <c r="A2176" t="inlineStr">
        <is>
          <t>0009029440</t>
        </is>
      </c>
      <c r="B2176" t="inlineStr">
        <is>
          <t>0000100234</t>
        </is>
      </c>
      <c r="C2176" s="3" t="n">
        <v>46014</v>
      </c>
      <c r="D2176" s="3" t="n">
        <v>46059</v>
      </c>
      <c r="E2176" s="4" t="n">
        <v>1011.41</v>
      </c>
      <c r="F2176">
        <f>Summary!$B$3-D2176</f>
        <v/>
      </c>
      <c r="G2176">
        <f>IF(D2176&gt;Summary!$B$3,"Current",IF(F2176&lt;=30,"0-30",IF(F2176&lt;=60,"31-60",IF(F2176&lt;=90,"61-90","90+"))))</f>
        <v/>
      </c>
    </row>
    <row r="2177">
      <c r="A2177" t="inlineStr">
        <is>
          <t>0009029441</t>
        </is>
      </c>
      <c r="B2177" t="inlineStr">
        <is>
          <t>0000100542</t>
        </is>
      </c>
      <c r="C2177" s="3" t="n">
        <v>46008</v>
      </c>
      <c r="D2177" s="3" t="n">
        <v>46068</v>
      </c>
      <c r="E2177" s="4" t="n">
        <v>1889.29</v>
      </c>
      <c r="F2177">
        <f>Summary!$B$3-D2177</f>
        <v/>
      </c>
      <c r="G2177">
        <f>IF(D2177&gt;Summary!$B$3,"Current",IF(F2177&lt;=30,"0-30",IF(F2177&lt;=60,"31-60",IF(F2177&lt;=90,"61-90","90+"))))</f>
        <v/>
      </c>
    </row>
    <row r="2178">
      <c r="A2178" t="inlineStr">
        <is>
          <t>0009029442</t>
        </is>
      </c>
      <c r="B2178" t="inlineStr">
        <is>
          <t>0000100049</t>
        </is>
      </c>
      <c r="C2178" s="3" t="n">
        <v>46012</v>
      </c>
      <c r="D2178" s="3" t="n">
        <v>46042</v>
      </c>
      <c r="E2178" s="4" t="n">
        <v>204.06</v>
      </c>
      <c r="F2178">
        <f>Summary!$B$3-D2178</f>
        <v/>
      </c>
      <c r="G2178">
        <f>IF(D2178&gt;Summary!$B$3,"Current",IF(F2178&lt;=30,"0-30",IF(F2178&lt;=60,"31-60",IF(F2178&lt;=90,"61-90","90+"))))</f>
        <v/>
      </c>
    </row>
    <row r="2179">
      <c r="A2179" t="inlineStr">
        <is>
          <t>0009029443</t>
        </is>
      </c>
      <c r="B2179" t="inlineStr">
        <is>
          <t>0000100240</t>
        </is>
      </c>
      <c r="C2179" s="3" t="n">
        <v>46013</v>
      </c>
      <c r="D2179" s="3" t="n">
        <v>46043</v>
      </c>
      <c r="E2179" s="4" t="n">
        <v>470.4</v>
      </c>
      <c r="F2179">
        <f>Summary!$B$3-D2179</f>
        <v/>
      </c>
      <c r="G2179">
        <f>IF(D2179&gt;Summary!$B$3,"Current",IF(F2179&lt;=30,"0-30",IF(F2179&lt;=60,"31-60",IF(F2179&lt;=90,"61-90","90+"))))</f>
        <v/>
      </c>
    </row>
    <row r="2180">
      <c r="A2180" t="inlineStr">
        <is>
          <t>0009029444</t>
        </is>
      </c>
      <c r="B2180" t="inlineStr">
        <is>
          <t>0000100207</t>
        </is>
      </c>
      <c r="C2180" s="3" t="n">
        <v>46012</v>
      </c>
      <c r="D2180" s="3" t="n">
        <v>46042</v>
      </c>
      <c r="E2180" s="4" t="n">
        <v>226.06</v>
      </c>
      <c r="F2180">
        <f>Summary!$B$3-D2180</f>
        <v/>
      </c>
      <c r="G2180">
        <f>IF(D2180&gt;Summary!$B$3,"Current",IF(F2180&lt;=30,"0-30",IF(F2180&lt;=60,"31-60",IF(F2180&lt;=90,"61-90","90+"))))</f>
        <v/>
      </c>
    </row>
    <row r="2181">
      <c r="A2181" t="inlineStr">
        <is>
          <t>0009029445</t>
        </is>
      </c>
      <c r="B2181" t="inlineStr">
        <is>
          <t>0000100241</t>
        </is>
      </c>
      <c r="C2181" s="3" t="n">
        <v>46019</v>
      </c>
      <c r="D2181" s="3" t="n">
        <v>46064</v>
      </c>
      <c r="E2181" s="4" t="n">
        <v>11814.88</v>
      </c>
      <c r="F2181">
        <f>Summary!$B$3-D2181</f>
        <v/>
      </c>
      <c r="G2181">
        <f>IF(D2181&gt;Summary!$B$3,"Current",IF(F2181&lt;=30,"0-30",IF(F2181&lt;=60,"31-60",IF(F2181&lt;=90,"61-90","90+"))))</f>
        <v/>
      </c>
    </row>
    <row r="2182">
      <c r="A2182" t="inlineStr">
        <is>
          <t>0009029446</t>
        </is>
      </c>
      <c r="B2182" t="inlineStr">
        <is>
          <t>0000100304</t>
        </is>
      </c>
      <c r="C2182" s="3" t="n">
        <v>46013</v>
      </c>
      <c r="D2182" s="3" t="n">
        <v>46073</v>
      </c>
      <c r="E2182" s="4" t="n">
        <v>531.58</v>
      </c>
      <c r="F2182">
        <f>Summary!$B$3-D2182</f>
        <v/>
      </c>
      <c r="G2182">
        <f>IF(D2182&gt;Summary!$B$3,"Current",IF(F2182&lt;=30,"0-30",IF(F2182&lt;=60,"31-60",IF(F2182&lt;=90,"61-90","90+"))))</f>
        <v/>
      </c>
    </row>
    <row r="2183">
      <c r="A2183" t="inlineStr">
        <is>
          <t>0009029447</t>
        </is>
      </c>
      <c r="B2183" t="inlineStr">
        <is>
          <t>0000100522</t>
        </is>
      </c>
      <c r="C2183" s="3" t="n">
        <v>46015</v>
      </c>
      <c r="D2183" s="3" t="n">
        <v>46075</v>
      </c>
      <c r="E2183" s="4" t="n">
        <v>35.54</v>
      </c>
      <c r="F2183">
        <f>Summary!$B$3-D2183</f>
        <v/>
      </c>
      <c r="G2183">
        <f>IF(D2183&gt;Summary!$B$3,"Current",IF(F2183&lt;=30,"0-30",IF(F2183&lt;=60,"31-60",IF(F2183&lt;=90,"61-90","90+"))))</f>
        <v/>
      </c>
    </row>
    <row r="2184">
      <c r="A2184" t="inlineStr">
        <is>
          <t>0009029448</t>
        </is>
      </c>
      <c r="B2184" t="inlineStr">
        <is>
          <t>0000100394</t>
        </is>
      </c>
      <c r="C2184" s="3" t="n">
        <v>46011</v>
      </c>
      <c r="D2184" s="3" t="n">
        <v>46071</v>
      </c>
      <c r="E2184" s="4" t="n">
        <v>487.08</v>
      </c>
      <c r="F2184">
        <f>Summary!$B$3-D2184</f>
        <v/>
      </c>
      <c r="G2184">
        <f>IF(D2184&gt;Summary!$B$3,"Current",IF(F2184&lt;=30,"0-30",IF(F2184&lt;=60,"31-60",IF(F2184&lt;=90,"61-90","90+"))))</f>
        <v/>
      </c>
    </row>
    <row r="2185">
      <c r="A2185" t="inlineStr">
        <is>
          <t>0009029450</t>
        </is>
      </c>
      <c r="B2185" t="inlineStr">
        <is>
          <t>0000100369</t>
        </is>
      </c>
      <c r="C2185" s="3" t="n">
        <v>46011</v>
      </c>
      <c r="D2185" s="3" t="n">
        <v>46041</v>
      </c>
      <c r="E2185" s="4" t="n">
        <v>246.26</v>
      </c>
      <c r="F2185">
        <f>Summary!$B$3-D2185</f>
        <v/>
      </c>
      <c r="G2185">
        <f>IF(D2185&gt;Summary!$B$3,"Current",IF(F2185&lt;=30,"0-30",IF(F2185&lt;=60,"31-60",IF(F2185&lt;=90,"61-90","90+"))))</f>
        <v/>
      </c>
    </row>
    <row r="2186">
      <c r="A2186" t="inlineStr">
        <is>
          <t>0009029451</t>
        </is>
      </c>
      <c r="B2186" t="inlineStr">
        <is>
          <t>0000100196</t>
        </is>
      </c>
      <c r="C2186" s="3" t="n">
        <v>46008</v>
      </c>
      <c r="D2186" s="3" t="n">
        <v>46038</v>
      </c>
      <c r="E2186" s="4" t="n">
        <v>1014.82</v>
      </c>
      <c r="F2186">
        <f>Summary!$B$3-D2186</f>
        <v/>
      </c>
      <c r="G2186">
        <f>IF(D2186&gt;Summary!$B$3,"Current",IF(F2186&lt;=30,"0-30",IF(F2186&lt;=60,"31-60",IF(F2186&lt;=90,"61-90","90+"))))</f>
        <v/>
      </c>
    </row>
    <row r="2187">
      <c r="A2187" t="inlineStr">
        <is>
          <t>0009029452</t>
        </is>
      </c>
      <c r="B2187" t="inlineStr">
        <is>
          <t>0000100364</t>
        </is>
      </c>
      <c r="C2187" s="3" t="n">
        <v>46012</v>
      </c>
      <c r="D2187" s="3" t="n">
        <v>46072</v>
      </c>
      <c r="E2187" s="4" t="n">
        <v>4694.42</v>
      </c>
      <c r="F2187">
        <f>Summary!$B$3-D2187</f>
        <v/>
      </c>
      <c r="G2187">
        <f>IF(D2187&gt;Summary!$B$3,"Current",IF(F2187&lt;=30,"0-30",IF(F2187&lt;=60,"31-60",IF(F2187&lt;=90,"61-90","90+"))))</f>
        <v/>
      </c>
    </row>
    <row r="2188">
      <c r="A2188" t="inlineStr">
        <is>
          <t>0009029453</t>
        </is>
      </c>
      <c r="B2188" t="inlineStr">
        <is>
          <t>0000100513</t>
        </is>
      </c>
      <c r="C2188" s="3" t="n">
        <v>46014</v>
      </c>
      <c r="D2188" s="3" t="n">
        <v>46074</v>
      </c>
      <c r="E2188" s="4" t="n">
        <v>504.49</v>
      </c>
      <c r="F2188">
        <f>Summary!$B$3-D2188</f>
        <v/>
      </c>
      <c r="G2188">
        <f>IF(D2188&gt;Summary!$B$3,"Current",IF(F2188&lt;=30,"0-30",IF(F2188&lt;=60,"31-60",IF(F2188&lt;=90,"61-90","90+"))))</f>
        <v/>
      </c>
    </row>
    <row r="2189">
      <c r="A2189" t="inlineStr">
        <is>
          <t>0009029454</t>
        </is>
      </c>
      <c r="B2189" t="inlineStr">
        <is>
          <t>0000100338</t>
        </is>
      </c>
      <c r="C2189" s="3" t="n">
        <v>46007</v>
      </c>
      <c r="D2189" s="3" t="n">
        <v>46067</v>
      </c>
      <c r="E2189" s="4" t="n">
        <v>837.59</v>
      </c>
      <c r="F2189">
        <f>Summary!$B$3-D2189</f>
        <v/>
      </c>
      <c r="G2189">
        <f>IF(D2189&gt;Summary!$B$3,"Current",IF(F2189&lt;=30,"0-30",IF(F2189&lt;=60,"31-60",IF(F2189&lt;=90,"61-90","90+"))))</f>
        <v/>
      </c>
    </row>
    <row r="2190">
      <c r="A2190" t="inlineStr">
        <is>
          <t>0009029457</t>
        </is>
      </c>
      <c r="B2190" t="inlineStr">
        <is>
          <t>0000100079</t>
        </is>
      </c>
      <c r="C2190" s="3" t="n">
        <v>46011</v>
      </c>
      <c r="D2190" s="3" t="n">
        <v>46041</v>
      </c>
      <c r="E2190" s="4" t="n">
        <v>1847.97</v>
      </c>
      <c r="F2190">
        <f>Summary!$B$3-D2190</f>
        <v/>
      </c>
      <c r="G2190">
        <f>IF(D2190&gt;Summary!$B$3,"Current",IF(F2190&lt;=30,"0-30",IF(F2190&lt;=60,"31-60",IF(F2190&lt;=90,"61-90","90+"))))</f>
        <v/>
      </c>
    </row>
    <row r="2191">
      <c r="A2191" t="inlineStr">
        <is>
          <t>0009029458</t>
        </is>
      </c>
      <c r="B2191" t="inlineStr">
        <is>
          <t>0000100293</t>
        </is>
      </c>
      <c r="C2191" s="3" t="n">
        <v>46013</v>
      </c>
      <c r="D2191" s="3" t="n">
        <v>46043</v>
      </c>
      <c r="E2191" s="4" t="n">
        <v>299.04</v>
      </c>
      <c r="F2191">
        <f>Summary!$B$3-D2191</f>
        <v/>
      </c>
      <c r="G2191">
        <f>IF(D2191&gt;Summary!$B$3,"Current",IF(F2191&lt;=30,"0-30",IF(F2191&lt;=60,"31-60",IF(F2191&lt;=90,"61-90","90+"))))</f>
        <v/>
      </c>
    </row>
    <row r="2192">
      <c r="A2192" t="inlineStr">
        <is>
          <t>0009029459</t>
        </is>
      </c>
      <c r="B2192" t="inlineStr">
        <is>
          <t>0000100324</t>
        </is>
      </c>
      <c r="C2192" s="3" t="n">
        <v>46012</v>
      </c>
      <c r="D2192" s="3" t="n">
        <v>46042</v>
      </c>
      <c r="E2192" s="4" t="n">
        <v>3029.89</v>
      </c>
      <c r="F2192">
        <f>Summary!$B$3-D2192</f>
        <v/>
      </c>
      <c r="G2192">
        <f>IF(D2192&gt;Summary!$B$3,"Current",IF(F2192&lt;=30,"0-30",IF(F2192&lt;=60,"31-60",IF(F2192&lt;=90,"61-90","90+"))))</f>
        <v/>
      </c>
    </row>
    <row r="2193">
      <c r="A2193" t="inlineStr">
        <is>
          <t>0009029460</t>
        </is>
      </c>
      <c r="B2193" t="inlineStr">
        <is>
          <t>0000100525</t>
        </is>
      </c>
      <c r="C2193" s="3" t="n">
        <v>46014</v>
      </c>
      <c r="D2193" s="3" t="n">
        <v>46059</v>
      </c>
      <c r="E2193" s="4" t="n">
        <v>1322.5</v>
      </c>
      <c r="F2193">
        <f>Summary!$B$3-D2193</f>
        <v/>
      </c>
      <c r="G2193">
        <f>IF(D2193&gt;Summary!$B$3,"Current",IF(F2193&lt;=30,"0-30",IF(F2193&lt;=60,"31-60",IF(F2193&lt;=90,"61-90","90+"))))</f>
        <v/>
      </c>
    </row>
    <row r="2194">
      <c r="A2194" t="inlineStr">
        <is>
          <t>0009029461</t>
        </is>
      </c>
      <c r="B2194" t="inlineStr">
        <is>
          <t>0000100377</t>
        </is>
      </c>
      <c r="C2194" s="3" t="n">
        <v>46020</v>
      </c>
      <c r="D2194" s="3" t="n">
        <v>46050</v>
      </c>
      <c r="E2194" s="4" t="n">
        <v>559.09</v>
      </c>
      <c r="F2194">
        <f>Summary!$B$3-D2194</f>
        <v/>
      </c>
      <c r="G2194">
        <f>IF(D2194&gt;Summary!$B$3,"Current",IF(F2194&lt;=30,"0-30",IF(F2194&lt;=60,"31-60",IF(F2194&lt;=90,"61-90","90+"))))</f>
        <v/>
      </c>
    </row>
    <row r="2195">
      <c r="A2195" t="inlineStr">
        <is>
          <t>0009029462</t>
        </is>
      </c>
      <c r="B2195" t="inlineStr">
        <is>
          <t>0000100468</t>
        </is>
      </c>
      <c r="C2195" s="3" t="n">
        <v>46008</v>
      </c>
      <c r="D2195" s="3" t="n">
        <v>46038</v>
      </c>
      <c r="E2195" s="4" t="n">
        <v>599.9</v>
      </c>
      <c r="F2195">
        <f>Summary!$B$3-D2195</f>
        <v/>
      </c>
      <c r="G2195">
        <f>IF(D2195&gt;Summary!$B$3,"Current",IF(F2195&lt;=30,"0-30",IF(F2195&lt;=60,"31-60",IF(F2195&lt;=90,"61-90","90+"))))</f>
        <v/>
      </c>
    </row>
    <row r="2196">
      <c r="A2196" t="inlineStr">
        <is>
          <t>0009029463</t>
        </is>
      </c>
      <c r="B2196" t="inlineStr">
        <is>
          <t>0000100175</t>
        </is>
      </c>
      <c r="C2196" s="3" t="n">
        <v>46014</v>
      </c>
      <c r="D2196" s="3" t="n">
        <v>46074</v>
      </c>
      <c r="E2196" s="4" t="n">
        <v>319.79</v>
      </c>
      <c r="F2196">
        <f>Summary!$B$3-D2196</f>
        <v/>
      </c>
      <c r="G2196">
        <f>IF(D2196&gt;Summary!$B$3,"Current",IF(F2196&lt;=30,"0-30",IF(F2196&lt;=60,"31-60",IF(F2196&lt;=90,"61-90","90+"))))</f>
        <v/>
      </c>
    </row>
    <row r="2197">
      <c r="A2197" t="inlineStr">
        <is>
          <t>0009029464</t>
        </is>
      </c>
      <c r="B2197" t="inlineStr">
        <is>
          <t>0000100028</t>
        </is>
      </c>
      <c r="C2197" s="3" t="n">
        <v>46010</v>
      </c>
      <c r="D2197" s="3" t="n">
        <v>46055</v>
      </c>
      <c r="E2197" s="4" t="n">
        <v>892.41</v>
      </c>
      <c r="F2197">
        <f>Summary!$B$3-D2197</f>
        <v/>
      </c>
      <c r="G2197">
        <f>IF(D2197&gt;Summary!$B$3,"Current",IF(F2197&lt;=30,"0-30",IF(F2197&lt;=60,"31-60",IF(F2197&lt;=90,"61-90","90+"))))</f>
        <v/>
      </c>
    </row>
    <row r="2198">
      <c r="A2198" t="inlineStr">
        <is>
          <t>0009029465</t>
        </is>
      </c>
      <c r="B2198" t="inlineStr">
        <is>
          <t>0000100064</t>
        </is>
      </c>
      <c r="C2198" s="3" t="n">
        <v>46013</v>
      </c>
      <c r="D2198" s="3" t="n">
        <v>46043</v>
      </c>
      <c r="E2198" s="4" t="n">
        <v>971.3</v>
      </c>
      <c r="F2198">
        <f>Summary!$B$3-D2198</f>
        <v/>
      </c>
      <c r="G2198">
        <f>IF(D2198&gt;Summary!$B$3,"Current",IF(F2198&lt;=30,"0-30",IF(F2198&lt;=60,"31-60",IF(F2198&lt;=90,"61-90","90+"))))</f>
        <v/>
      </c>
    </row>
    <row r="2199">
      <c r="A2199" t="inlineStr">
        <is>
          <t>0009029466</t>
        </is>
      </c>
      <c r="B2199" t="inlineStr">
        <is>
          <t>0000100520</t>
        </is>
      </c>
      <c r="C2199" s="3" t="n">
        <v>46014</v>
      </c>
      <c r="D2199" s="3" t="n">
        <v>46059</v>
      </c>
      <c r="E2199" s="4" t="n">
        <v>1874.67</v>
      </c>
      <c r="F2199">
        <f>Summary!$B$3-D2199</f>
        <v/>
      </c>
      <c r="G2199">
        <f>IF(D2199&gt;Summary!$B$3,"Current",IF(F2199&lt;=30,"0-30",IF(F2199&lt;=60,"31-60",IF(F2199&lt;=90,"61-90","90+"))))</f>
        <v/>
      </c>
    </row>
    <row r="2200">
      <c r="A2200" t="inlineStr">
        <is>
          <t>0009029467</t>
        </is>
      </c>
      <c r="B2200" t="inlineStr">
        <is>
          <t>0000100275</t>
        </is>
      </c>
      <c r="C2200" s="3" t="n">
        <v>46013</v>
      </c>
      <c r="D2200" s="3" t="n">
        <v>46073</v>
      </c>
      <c r="E2200" s="4" t="n">
        <v>588.86</v>
      </c>
      <c r="F2200">
        <f>Summary!$B$3-D2200</f>
        <v/>
      </c>
      <c r="G2200">
        <f>IF(D2200&gt;Summary!$B$3,"Current",IF(F2200&lt;=30,"0-30",IF(F2200&lt;=60,"31-60",IF(F2200&lt;=90,"61-90","90+"))))</f>
        <v/>
      </c>
    </row>
    <row r="2201">
      <c r="A2201" t="inlineStr">
        <is>
          <t>0009029468</t>
        </is>
      </c>
      <c r="B2201" t="inlineStr">
        <is>
          <t>0000100269</t>
        </is>
      </c>
      <c r="C2201" s="3" t="n">
        <v>46019</v>
      </c>
      <c r="D2201" s="3" t="n">
        <v>46049</v>
      </c>
      <c r="E2201" s="4" t="n">
        <v>1758.77</v>
      </c>
      <c r="F2201">
        <f>Summary!$B$3-D2201</f>
        <v/>
      </c>
      <c r="G2201">
        <f>IF(D2201&gt;Summary!$B$3,"Current",IF(F2201&lt;=30,"0-30",IF(F2201&lt;=60,"31-60",IF(F2201&lt;=90,"61-90","90+"))))</f>
        <v/>
      </c>
    </row>
    <row r="2202">
      <c r="A2202" t="inlineStr">
        <is>
          <t>0009029469</t>
        </is>
      </c>
      <c r="B2202" t="inlineStr">
        <is>
          <t>0000100206</t>
        </is>
      </c>
      <c r="C2202" s="3" t="n">
        <v>46016</v>
      </c>
      <c r="D2202" s="3" t="n">
        <v>46061</v>
      </c>
      <c r="E2202" s="4" t="n">
        <v>857.34</v>
      </c>
      <c r="F2202">
        <f>Summary!$B$3-D2202</f>
        <v/>
      </c>
      <c r="G2202">
        <f>IF(D2202&gt;Summary!$B$3,"Current",IF(F2202&lt;=30,"0-30",IF(F2202&lt;=60,"31-60",IF(F2202&lt;=90,"61-90","90+"))))</f>
        <v/>
      </c>
    </row>
    <row r="2203">
      <c r="A2203" t="inlineStr">
        <is>
          <t>0009029470</t>
        </is>
      </c>
      <c r="B2203" t="inlineStr">
        <is>
          <t>0000100424</t>
        </is>
      </c>
      <c r="C2203" s="3" t="n">
        <v>46011</v>
      </c>
      <c r="D2203" s="3" t="n">
        <v>46056</v>
      </c>
      <c r="E2203" s="4" t="n">
        <v>868.51</v>
      </c>
      <c r="F2203">
        <f>Summary!$B$3-D2203</f>
        <v/>
      </c>
      <c r="G2203">
        <f>IF(D2203&gt;Summary!$B$3,"Current",IF(F2203&lt;=30,"0-30",IF(F2203&lt;=60,"31-60",IF(F2203&lt;=90,"61-90","90+"))))</f>
        <v/>
      </c>
    </row>
    <row r="2204">
      <c r="A2204" t="inlineStr">
        <is>
          <t>0009029471</t>
        </is>
      </c>
      <c r="B2204" t="inlineStr">
        <is>
          <t>0000100089</t>
        </is>
      </c>
      <c r="C2204" s="3" t="n">
        <v>46011</v>
      </c>
      <c r="D2204" s="3" t="n">
        <v>46056</v>
      </c>
      <c r="E2204" s="4" t="n">
        <v>539.86</v>
      </c>
      <c r="F2204">
        <f>Summary!$B$3-D2204</f>
        <v/>
      </c>
      <c r="G2204">
        <f>IF(D2204&gt;Summary!$B$3,"Current",IF(F2204&lt;=30,"0-30",IF(F2204&lt;=60,"31-60",IF(F2204&lt;=90,"61-90","90+"))))</f>
        <v/>
      </c>
    </row>
    <row r="2205">
      <c r="A2205" t="inlineStr">
        <is>
          <t>0009029472</t>
        </is>
      </c>
      <c r="B2205" t="inlineStr">
        <is>
          <t>0000100000</t>
        </is>
      </c>
      <c r="C2205" s="3" t="n">
        <v>46010</v>
      </c>
      <c r="D2205" s="3" t="n">
        <v>46040</v>
      </c>
      <c r="E2205" s="4" t="n">
        <v>685.52</v>
      </c>
      <c r="F2205">
        <f>Summary!$B$3-D2205</f>
        <v/>
      </c>
      <c r="G2205">
        <f>IF(D2205&gt;Summary!$B$3,"Current",IF(F2205&lt;=30,"0-30",IF(F2205&lt;=60,"31-60",IF(F2205&lt;=90,"61-90","90+"))))</f>
        <v/>
      </c>
    </row>
    <row r="2206">
      <c r="A2206" t="inlineStr">
        <is>
          <t>0009029473</t>
        </is>
      </c>
      <c r="B2206" t="inlineStr">
        <is>
          <t>0000100525</t>
        </is>
      </c>
      <c r="C2206" s="3" t="n">
        <v>46010</v>
      </c>
      <c r="D2206" s="3" t="n">
        <v>46055</v>
      </c>
      <c r="E2206" s="4" t="n">
        <v>404.16</v>
      </c>
      <c r="F2206">
        <f>Summary!$B$3-D2206</f>
        <v/>
      </c>
      <c r="G2206">
        <f>IF(D2206&gt;Summary!$B$3,"Current",IF(F2206&lt;=30,"0-30",IF(F2206&lt;=60,"31-60",IF(F2206&lt;=90,"61-90","90+"))))</f>
        <v/>
      </c>
    </row>
    <row r="2207">
      <c r="A2207" t="inlineStr">
        <is>
          <t>0009029474</t>
        </is>
      </c>
      <c r="B2207" t="inlineStr">
        <is>
          <t>0000100253</t>
        </is>
      </c>
      <c r="C2207" s="3" t="n">
        <v>46011</v>
      </c>
      <c r="D2207" s="3" t="n">
        <v>46071</v>
      </c>
      <c r="E2207" s="4" t="n">
        <v>458.43</v>
      </c>
      <c r="F2207">
        <f>Summary!$B$3-D2207</f>
        <v/>
      </c>
      <c r="G2207">
        <f>IF(D2207&gt;Summary!$B$3,"Current",IF(F2207&lt;=30,"0-30",IF(F2207&lt;=60,"31-60",IF(F2207&lt;=90,"61-90","90+"))))</f>
        <v/>
      </c>
    </row>
    <row r="2208">
      <c r="A2208" t="inlineStr">
        <is>
          <t>0009029475</t>
        </is>
      </c>
      <c r="B2208" t="inlineStr">
        <is>
          <t>0000100484</t>
        </is>
      </c>
      <c r="C2208" s="3" t="n">
        <v>46018</v>
      </c>
      <c r="D2208" s="3" t="n">
        <v>46078</v>
      </c>
      <c r="E2208" s="4" t="n">
        <v>1312.49</v>
      </c>
      <c r="F2208">
        <f>Summary!$B$3-D2208</f>
        <v/>
      </c>
      <c r="G2208">
        <f>IF(D2208&gt;Summary!$B$3,"Current",IF(F2208&lt;=30,"0-30",IF(F2208&lt;=60,"31-60",IF(F2208&lt;=90,"61-90","90+"))))</f>
        <v/>
      </c>
    </row>
    <row r="2209">
      <c r="A2209" t="inlineStr">
        <is>
          <t>0009029476</t>
        </is>
      </c>
      <c r="B2209" t="inlineStr">
        <is>
          <t>0000100269</t>
        </is>
      </c>
      <c r="C2209" s="3" t="n">
        <v>46013</v>
      </c>
      <c r="D2209" s="3" t="n">
        <v>46043</v>
      </c>
      <c r="E2209" s="4" t="n">
        <v>17.18</v>
      </c>
      <c r="F2209">
        <f>Summary!$B$3-D2209</f>
        <v/>
      </c>
      <c r="G2209">
        <f>IF(D2209&gt;Summary!$B$3,"Current",IF(F2209&lt;=30,"0-30",IF(F2209&lt;=60,"31-60",IF(F2209&lt;=90,"61-90","90+"))))</f>
        <v/>
      </c>
    </row>
    <row r="2210">
      <c r="A2210" t="inlineStr">
        <is>
          <t>0009029477</t>
        </is>
      </c>
      <c r="B2210" t="inlineStr">
        <is>
          <t>0000100325</t>
        </is>
      </c>
      <c r="C2210" s="3" t="n">
        <v>46016</v>
      </c>
      <c r="D2210" s="3" t="n">
        <v>46046</v>
      </c>
      <c r="E2210" s="4" t="n">
        <v>165.8</v>
      </c>
      <c r="F2210">
        <f>Summary!$B$3-D2210</f>
        <v/>
      </c>
      <c r="G2210">
        <f>IF(D2210&gt;Summary!$B$3,"Current",IF(F2210&lt;=30,"0-30",IF(F2210&lt;=60,"31-60",IF(F2210&lt;=90,"61-90","90+"))))</f>
        <v/>
      </c>
    </row>
    <row r="2211">
      <c r="A2211" t="inlineStr">
        <is>
          <t>0009029478</t>
        </is>
      </c>
      <c r="B2211" t="inlineStr">
        <is>
          <t>0000100065</t>
        </is>
      </c>
      <c r="C2211" s="3" t="n">
        <v>46019</v>
      </c>
      <c r="D2211" s="3" t="n">
        <v>46064</v>
      </c>
      <c r="E2211" s="4" t="n">
        <v>815.97</v>
      </c>
      <c r="F2211">
        <f>Summary!$B$3-D2211</f>
        <v/>
      </c>
      <c r="G2211">
        <f>IF(D2211&gt;Summary!$B$3,"Current",IF(F2211&lt;=30,"0-30",IF(F2211&lt;=60,"31-60",IF(F2211&lt;=90,"61-90","90+"))))</f>
        <v/>
      </c>
    </row>
    <row r="2212">
      <c r="A2212" t="inlineStr">
        <is>
          <t>0009029479</t>
        </is>
      </c>
      <c r="B2212" t="inlineStr">
        <is>
          <t>0000100170</t>
        </is>
      </c>
      <c r="C2212" s="3" t="n">
        <v>46009</v>
      </c>
      <c r="D2212" s="3" t="n">
        <v>46039</v>
      </c>
      <c r="E2212" s="4" t="n">
        <v>2884.8</v>
      </c>
      <c r="F2212">
        <f>Summary!$B$3-D2212</f>
        <v/>
      </c>
      <c r="G2212">
        <f>IF(D2212&gt;Summary!$B$3,"Current",IF(F2212&lt;=30,"0-30",IF(F2212&lt;=60,"31-60",IF(F2212&lt;=90,"61-90","90+"))))</f>
        <v/>
      </c>
    </row>
    <row r="2213">
      <c r="A2213" t="inlineStr">
        <is>
          <t>0009029480</t>
        </is>
      </c>
      <c r="B2213" t="inlineStr">
        <is>
          <t>0000100116</t>
        </is>
      </c>
      <c r="C2213" s="3" t="n">
        <v>46018</v>
      </c>
      <c r="D2213" s="3" t="n">
        <v>46063</v>
      </c>
      <c r="E2213" s="4" t="n">
        <v>712.26</v>
      </c>
      <c r="F2213">
        <f>Summary!$B$3-D2213</f>
        <v/>
      </c>
      <c r="G2213">
        <f>IF(D2213&gt;Summary!$B$3,"Current",IF(F2213&lt;=30,"0-30",IF(F2213&lt;=60,"31-60",IF(F2213&lt;=90,"61-90","90+"))))</f>
        <v/>
      </c>
    </row>
    <row r="2214">
      <c r="A2214" t="inlineStr">
        <is>
          <t>0009029481</t>
        </is>
      </c>
      <c r="B2214" t="inlineStr">
        <is>
          <t>0000100313</t>
        </is>
      </c>
      <c r="C2214" s="3" t="n">
        <v>46011</v>
      </c>
      <c r="D2214" s="3" t="n">
        <v>46071</v>
      </c>
      <c r="E2214" s="4" t="n">
        <v>641.09</v>
      </c>
      <c r="F2214">
        <f>Summary!$B$3-D2214</f>
        <v/>
      </c>
      <c r="G2214">
        <f>IF(D2214&gt;Summary!$B$3,"Current",IF(F2214&lt;=30,"0-30",IF(F2214&lt;=60,"31-60",IF(F2214&lt;=90,"61-90","90+"))))</f>
        <v/>
      </c>
    </row>
    <row r="2215">
      <c r="A2215" t="inlineStr">
        <is>
          <t>0009029482</t>
        </is>
      </c>
      <c r="B2215" t="inlineStr">
        <is>
          <t>0000100088</t>
        </is>
      </c>
      <c r="C2215" s="3" t="n">
        <v>46016</v>
      </c>
      <c r="D2215" s="3" t="n">
        <v>46061</v>
      </c>
      <c r="E2215" s="4" t="n">
        <v>341.67</v>
      </c>
      <c r="F2215">
        <f>Summary!$B$3-D2215</f>
        <v/>
      </c>
      <c r="G2215">
        <f>IF(D2215&gt;Summary!$B$3,"Current",IF(F2215&lt;=30,"0-30",IF(F2215&lt;=60,"31-60",IF(F2215&lt;=90,"61-90","90+"))))</f>
        <v/>
      </c>
    </row>
    <row r="2216">
      <c r="A2216" t="inlineStr">
        <is>
          <t>0009029483</t>
        </is>
      </c>
      <c r="B2216" t="inlineStr">
        <is>
          <t>0000100525</t>
        </is>
      </c>
      <c r="C2216" s="3" t="n">
        <v>46018</v>
      </c>
      <c r="D2216" s="3" t="n">
        <v>46063</v>
      </c>
      <c r="E2216" s="4" t="n">
        <v>2238.11</v>
      </c>
      <c r="F2216">
        <f>Summary!$B$3-D2216</f>
        <v/>
      </c>
      <c r="G2216">
        <f>IF(D2216&gt;Summary!$B$3,"Current",IF(F2216&lt;=30,"0-30",IF(F2216&lt;=60,"31-60",IF(F2216&lt;=90,"61-90","90+"))))</f>
        <v/>
      </c>
    </row>
    <row r="2217">
      <c r="A2217" t="inlineStr">
        <is>
          <t>0009029484</t>
        </is>
      </c>
      <c r="B2217" t="inlineStr">
        <is>
          <t>0000100393</t>
        </is>
      </c>
      <c r="C2217" s="3" t="n">
        <v>46011</v>
      </c>
      <c r="D2217" s="3" t="n">
        <v>46041</v>
      </c>
      <c r="E2217" s="4" t="n">
        <v>999.27</v>
      </c>
      <c r="F2217">
        <f>Summary!$B$3-D2217</f>
        <v/>
      </c>
      <c r="G2217">
        <f>IF(D2217&gt;Summary!$B$3,"Current",IF(F2217&lt;=30,"0-30",IF(F2217&lt;=60,"31-60",IF(F2217&lt;=90,"61-90","90+"))))</f>
        <v/>
      </c>
    </row>
    <row r="2218">
      <c r="A2218" t="inlineStr">
        <is>
          <t>0009029486</t>
        </is>
      </c>
      <c r="B2218" t="inlineStr">
        <is>
          <t>0000100372</t>
        </is>
      </c>
      <c r="C2218" s="3" t="n">
        <v>46009</v>
      </c>
      <c r="D2218" s="3" t="n">
        <v>46039</v>
      </c>
      <c r="E2218" s="4" t="n">
        <v>1000.48</v>
      </c>
      <c r="F2218">
        <f>Summary!$B$3-D2218</f>
        <v/>
      </c>
      <c r="G2218">
        <f>IF(D2218&gt;Summary!$B$3,"Current",IF(F2218&lt;=30,"0-30",IF(F2218&lt;=60,"31-60",IF(F2218&lt;=90,"61-90","90+"))))</f>
        <v/>
      </c>
    </row>
    <row r="2219">
      <c r="A2219" t="inlineStr">
        <is>
          <t>0009029487</t>
        </is>
      </c>
      <c r="B2219" t="inlineStr">
        <is>
          <t>0000100074</t>
        </is>
      </c>
      <c r="C2219" s="3" t="n">
        <v>46014</v>
      </c>
      <c r="D2219" s="3" t="n">
        <v>46059</v>
      </c>
      <c r="E2219" s="4" t="n">
        <v>552.66</v>
      </c>
      <c r="F2219">
        <f>Summary!$B$3-D2219</f>
        <v/>
      </c>
      <c r="G2219">
        <f>IF(D2219&gt;Summary!$B$3,"Current",IF(F2219&lt;=30,"0-30",IF(F2219&lt;=60,"31-60",IF(F2219&lt;=90,"61-90","90+"))))</f>
        <v/>
      </c>
    </row>
    <row r="2220">
      <c r="A2220" t="inlineStr">
        <is>
          <t>0009029488</t>
        </is>
      </c>
      <c r="B2220" t="inlineStr">
        <is>
          <t>0000100015</t>
        </is>
      </c>
      <c r="C2220" s="3" t="n">
        <v>46021</v>
      </c>
      <c r="D2220" s="3" t="n">
        <v>46066</v>
      </c>
      <c r="E2220" s="4" t="n">
        <v>650.47</v>
      </c>
      <c r="F2220">
        <f>Summary!$B$3-D2220</f>
        <v/>
      </c>
      <c r="G2220">
        <f>IF(D2220&gt;Summary!$B$3,"Current",IF(F2220&lt;=30,"0-30",IF(F2220&lt;=60,"31-60",IF(F2220&lt;=90,"61-90","90+"))))</f>
        <v/>
      </c>
    </row>
    <row r="2221">
      <c r="A2221" t="inlineStr">
        <is>
          <t>0009029489</t>
        </is>
      </c>
      <c r="B2221" t="inlineStr">
        <is>
          <t>0000100522</t>
        </is>
      </c>
      <c r="C2221" s="3" t="n">
        <v>46013</v>
      </c>
      <c r="D2221" s="3" t="n">
        <v>46073</v>
      </c>
      <c r="E2221" s="4" t="n">
        <v>584.74</v>
      </c>
      <c r="F2221">
        <f>Summary!$B$3-D2221</f>
        <v/>
      </c>
      <c r="G2221">
        <f>IF(D2221&gt;Summary!$B$3,"Current",IF(F2221&lt;=30,"0-30",IF(F2221&lt;=60,"31-60",IF(F2221&lt;=90,"61-90","90+"))))</f>
        <v/>
      </c>
    </row>
    <row r="2222">
      <c r="A2222" t="inlineStr">
        <is>
          <t>0009029490</t>
        </is>
      </c>
      <c r="B2222" t="inlineStr">
        <is>
          <t>0000100383</t>
        </is>
      </c>
      <c r="C2222" s="3" t="n">
        <v>46008</v>
      </c>
      <c r="D2222" s="3" t="n">
        <v>46038</v>
      </c>
      <c r="E2222" s="4" t="n">
        <v>2248.08</v>
      </c>
      <c r="F2222">
        <f>Summary!$B$3-D2222</f>
        <v/>
      </c>
      <c r="G2222">
        <f>IF(D2222&gt;Summary!$B$3,"Current",IF(F2222&lt;=30,"0-30",IF(F2222&lt;=60,"31-60",IF(F2222&lt;=90,"61-90","90+"))))</f>
        <v/>
      </c>
    </row>
    <row r="2223">
      <c r="A2223" t="inlineStr">
        <is>
          <t>0009029491</t>
        </is>
      </c>
      <c r="B2223" t="inlineStr">
        <is>
          <t>0000100198</t>
        </is>
      </c>
      <c r="C2223" s="3" t="n">
        <v>46011</v>
      </c>
      <c r="D2223" s="3" t="n">
        <v>46056</v>
      </c>
      <c r="E2223" s="4" t="n">
        <v>267.24</v>
      </c>
      <c r="F2223">
        <f>Summary!$B$3-D2223</f>
        <v/>
      </c>
      <c r="G2223">
        <f>IF(D2223&gt;Summary!$B$3,"Current",IF(F2223&lt;=30,"0-30",IF(F2223&lt;=60,"31-60",IF(F2223&lt;=90,"61-90","90+"))))</f>
        <v/>
      </c>
    </row>
    <row r="2224">
      <c r="A2224" t="inlineStr">
        <is>
          <t>0009029492</t>
        </is>
      </c>
      <c r="B2224" t="inlineStr">
        <is>
          <t>0000100599</t>
        </is>
      </c>
      <c r="C2224" s="3" t="n">
        <v>46011</v>
      </c>
      <c r="D2224" s="3" t="n">
        <v>46056</v>
      </c>
      <c r="E2224" s="4" t="n">
        <v>557.24</v>
      </c>
      <c r="F2224">
        <f>Summary!$B$3-D2224</f>
        <v/>
      </c>
      <c r="G2224">
        <f>IF(D2224&gt;Summary!$B$3,"Current",IF(F2224&lt;=30,"0-30",IF(F2224&lt;=60,"31-60",IF(F2224&lt;=90,"61-90","90+"))))</f>
        <v/>
      </c>
    </row>
    <row r="2225">
      <c r="A2225" t="inlineStr">
        <is>
          <t>0009029493</t>
        </is>
      </c>
      <c r="B2225" t="inlineStr">
        <is>
          <t>0000100269</t>
        </is>
      </c>
      <c r="C2225" s="3" t="n">
        <v>46016</v>
      </c>
      <c r="D2225" s="3" t="n">
        <v>46046</v>
      </c>
      <c r="E2225" s="4" t="n">
        <v>101.45</v>
      </c>
      <c r="F2225">
        <f>Summary!$B$3-D2225</f>
        <v/>
      </c>
      <c r="G2225">
        <f>IF(D2225&gt;Summary!$B$3,"Current",IF(F2225&lt;=30,"0-30",IF(F2225&lt;=60,"31-60",IF(F2225&lt;=90,"61-90","90+"))))</f>
        <v/>
      </c>
    </row>
    <row r="2226">
      <c r="A2226" t="inlineStr">
        <is>
          <t>0009029494</t>
        </is>
      </c>
      <c r="B2226" t="inlineStr">
        <is>
          <t>0000100326</t>
        </is>
      </c>
      <c r="C2226" s="3" t="n">
        <v>46012</v>
      </c>
      <c r="D2226" s="3" t="n">
        <v>46042</v>
      </c>
      <c r="E2226" s="4" t="n">
        <v>968.74</v>
      </c>
      <c r="F2226">
        <f>Summary!$B$3-D2226</f>
        <v/>
      </c>
      <c r="G2226">
        <f>IF(D2226&gt;Summary!$B$3,"Current",IF(F2226&lt;=30,"0-30",IF(F2226&lt;=60,"31-60",IF(F2226&lt;=90,"61-90","90+"))))</f>
        <v/>
      </c>
    </row>
    <row r="2227">
      <c r="A2227" t="inlineStr">
        <is>
          <t>0009029495</t>
        </is>
      </c>
      <c r="B2227" t="inlineStr">
        <is>
          <t>0000100364</t>
        </is>
      </c>
      <c r="C2227" s="3" t="n">
        <v>46012</v>
      </c>
      <c r="D2227" s="3" t="n">
        <v>46072</v>
      </c>
      <c r="E2227" s="4" t="n">
        <v>157.83</v>
      </c>
      <c r="F2227">
        <f>Summary!$B$3-D2227</f>
        <v/>
      </c>
      <c r="G2227">
        <f>IF(D2227&gt;Summary!$B$3,"Current",IF(F2227&lt;=30,"0-30",IF(F2227&lt;=60,"31-60",IF(F2227&lt;=90,"61-90","90+"))))</f>
        <v/>
      </c>
    </row>
    <row r="2228">
      <c r="A2228" t="inlineStr">
        <is>
          <t>0009029496</t>
        </is>
      </c>
      <c r="B2228" t="inlineStr">
        <is>
          <t>0000100319</t>
        </is>
      </c>
      <c r="C2228" s="3" t="n">
        <v>46017</v>
      </c>
      <c r="D2228" s="3" t="n">
        <v>46062</v>
      </c>
      <c r="E2228" s="4" t="n">
        <v>1520.06</v>
      </c>
      <c r="F2228">
        <f>Summary!$B$3-D2228</f>
        <v/>
      </c>
      <c r="G2228">
        <f>IF(D2228&gt;Summary!$B$3,"Current",IF(F2228&lt;=30,"0-30",IF(F2228&lt;=60,"31-60",IF(F2228&lt;=90,"61-90","90+"))))</f>
        <v/>
      </c>
    </row>
    <row r="2229">
      <c r="A2229" t="inlineStr">
        <is>
          <t>0009029497</t>
        </is>
      </c>
      <c r="B2229" t="inlineStr">
        <is>
          <t>0000100010</t>
        </is>
      </c>
      <c r="C2229" s="3" t="n">
        <v>46012</v>
      </c>
      <c r="D2229" s="3" t="n">
        <v>46057</v>
      </c>
      <c r="E2229" s="4" t="n">
        <v>108.52</v>
      </c>
      <c r="F2229">
        <f>Summary!$B$3-D2229</f>
        <v/>
      </c>
      <c r="G2229">
        <f>IF(D2229&gt;Summary!$B$3,"Current",IF(F2229&lt;=30,"0-30",IF(F2229&lt;=60,"31-60",IF(F2229&lt;=90,"61-90","90+"))))</f>
        <v/>
      </c>
    </row>
    <row r="2230">
      <c r="A2230" t="inlineStr">
        <is>
          <t>0009029498</t>
        </is>
      </c>
      <c r="B2230" t="inlineStr">
        <is>
          <t>0000100513</t>
        </is>
      </c>
      <c r="C2230" s="3" t="n">
        <v>46009</v>
      </c>
      <c r="D2230" s="3" t="n">
        <v>46069</v>
      </c>
      <c r="E2230" s="4" t="n">
        <v>2205.32</v>
      </c>
      <c r="F2230">
        <f>Summary!$B$3-D2230</f>
        <v/>
      </c>
      <c r="G2230">
        <f>IF(D2230&gt;Summary!$B$3,"Current",IF(F2230&lt;=30,"0-30",IF(F2230&lt;=60,"31-60",IF(F2230&lt;=90,"61-90","90+"))))</f>
        <v/>
      </c>
    </row>
    <row r="2231">
      <c r="A2231" t="inlineStr">
        <is>
          <t>0009029499</t>
        </is>
      </c>
      <c r="B2231" t="inlineStr">
        <is>
          <t>0000100495</t>
        </is>
      </c>
      <c r="C2231" s="3" t="n">
        <v>46018</v>
      </c>
      <c r="D2231" s="3" t="n">
        <v>46048</v>
      </c>
      <c r="E2231" s="4" t="n">
        <v>2619.65</v>
      </c>
      <c r="F2231">
        <f>Summary!$B$3-D2231</f>
        <v/>
      </c>
      <c r="G2231">
        <f>IF(D2231&gt;Summary!$B$3,"Current",IF(F2231&lt;=30,"0-30",IF(F2231&lt;=60,"31-60",IF(F2231&lt;=90,"61-90","90+"))))</f>
        <v/>
      </c>
    </row>
    <row r="2232">
      <c r="A2232" t="inlineStr">
        <is>
          <t>0009029500</t>
        </is>
      </c>
      <c r="B2232" t="inlineStr">
        <is>
          <t>0000100552</t>
        </is>
      </c>
      <c r="C2232" s="3" t="n">
        <v>46009</v>
      </c>
      <c r="D2232" s="3" t="n">
        <v>46039</v>
      </c>
      <c r="E2232" s="4" t="n">
        <v>2606.95</v>
      </c>
      <c r="F2232">
        <f>Summary!$B$3-D2232</f>
        <v/>
      </c>
      <c r="G2232">
        <f>IF(D2232&gt;Summary!$B$3,"Current",IF(F2232&lt;=30,"0-30",IF(F2232&lt;=60,"31-60",IF(F2232&lt;=90,"61-90","90+"))))</f>
        <v/>
      </c>
    </row>
    <row r="2233">
      <c r="A2233" t="inlineStr">
        <is>
          <t>0009029501</t>
        </is>
      </c>
      <c r="B2233" t="inlineStr">
        <is>
          <t>0000100073</t>
        </is>
      </c>
      <c r="C2233" s="3" t="n">
        <v>46010</v>
      </c>
      <c r="D2233" s="3" t="n">
        <v>46055</v>
      </c>
      <c r="E2233" s="4" t="n">
        <v>16.24</v>
      </c>
      <c r="F2233">
        <f>Summary!$B$3-D2233</f>
        <v/>
      </c>
      <c r="G2233">
        <f>IF(D2233&gt;Summary!$B$3,"Current",IF(F2233&lt;=30,"0-30",IF(F2233&lt;=60,"31-60",IF(F2233&lt;=90,"61-90","90+"))))</f>
        <v/>
      </c>
    </row>
    <row r="2234">
      <c r="A2234" t="inlineStr">
        <is>
          <t>0009029502</t>
        </is>
      </c>
      <c r="B2234" t="inlineStr">
        <is>
          <t>0000100114</t>
        </is>
      </c>
      <c r="C2234" s="3" t="n">
        <v>46009</v>
      </c>
      <c r="D2234" s="3" t="n">
        <v>46054</v>
      </c>
      <c r="E2234" s="4" t="n">
        <v>3529.35</v>
      </c>
      <c r="F2234">
        <f>Summary!$B$3-D2234</f>
        <v/>
      </c>
      <c r="G2234">
        <f>IF(D2234&gt;Summary!$B$3,"Current",IF(F2234&lt;=30,"0-30",IF(F2234&lt;=60,"31-60",IF(F2234&lt;=90,"61-90","90+"))))</f>
        <v/>
      </c>
    </row>
    <row r="2235">
      <c r="A2235" t="inlineStr">
        <is>
          <t>0009029503</t>
        </is>
      </c>
      <c r="B2235" t="inlineStr">
        <is>
          <t>0000100163</t>
        </is>
      </c>
      <c r="C2235" s="3" t="n">
        <v>46009</v>
      </c>
      <c r="D2235" s="3" t="n">
        <v>46039</v>
      </c>
      <c r="E2235" s="4" t="n">
        <v>279.36</v>
      </c>
      <c r="F2235">
        <f>Summary!$B$3-D2235</f>
        <v/>
      </c>
      <c r="G2235">
        <f>IF(D2235&gt;Summary!$B$3,"Current",IF(F2235&lt;=30,"0-30",IF(F2235&lt;=60,"31-60",IF(F2235&lt;=90,"61-90","90+"))))</f>
        <v/>
      </c>
    </row>
    <row r="2236">
      <c r="A2236" t="inlineStr">
        <is>
          <t>0009029504</t>
        </is>
      </c>
      <c r="B2236" t="inlineStr">
        <is>
          <t>0000100073</t>
        </is>
      </c>
      <c r="C2236" s="3" t="n">
        <v>46020</v>
      </c>
      <c r="D2236" s="3" t="n">
        <v>46065</v>
      </c>
      <c r="E2236" s="4" t="n">
        <v>414.99</v>
      </c>
      <c r="F2236">
        <f>Summary!$B$3-D2236</f>
        <v/>
      </c>
      <c r="G2236">
        <f>IF(D2236&gt;Summary!$B$3,"Current",IF(F2236&lt;=30,"0-30",IF(F2236&lt;=60,"31-60",IF(F2236&lt;=90,"61-90","90+"))))</f>
        <v/>
      </c>
    </row>
    <row r="2237">
      <c r="A2237" t="inlineStr">
        <is>
          <t>0009029505</t>
        </is>
      </c>
      <c r="B2237" t="inlineStr">
        <is>
          <t>0000100508</t>
        </is>
      </c>
      <c r="C2237" s="3" t="n">
        <v>46017</v>
      </c>
      <c r="D2237" s="3" t="n">
        <v>46077</v>
      </c>
      <c r="E2237" s="4" t="n">
        <v>1059.78</v>
      </c>
      <c r="F2237">
        <f>Summary!$B$3-D2237</f>
        <v/>
      </c>
      <c r="G2237">
        <f>IF(D2237&gt;Summary!$B$3,"Current",IF(F2237&lt;=30,"0-30",IF(F2237&lt;=60,"31-60",IF(F2237&lt;=90,"61-90","90+"))))</f>
        <v/>
      </c>
    </row>
    <row r="2238">
      <c r="A2238" t="inlineStr">
        <is>
          <t>0009029506</t>
        </is>
      </c>
      <c r="B2238" t="inlineStr">
        <is>
          <t>0000100380</t>
        </is>
      </c>
      <c r="C2238" s="3" t="n">
        <v>46015</v>
      </c>
      <c r="D2238" s="3" t="n">
        <v>46075</v>
      </c>
      <c r="E2238" s="4" t="n">
        <v>842.23</v>
      </c>
      <c r="F2238">
        <f>Summary!$B$3-D2238</f>
        <v/>
      </c>
      <c r="G2238">
        <f>IF(D2238&gt;Summary!$B$3,"Current",IF(F2238&lt;=30,"0-30",IF(F2238&lt;=60,"31-60",IF(F2238&lt;=90,"61-90","90+"))))</f>
        <v/>
      </c>
    </row>
    <row r="2239">
      <c r="A2239" t="inlineStr">
        <is>
          <t>0009029507</t>
        </is>
      </c>
      <c r="B2239" t="inlineStr">
        <is>
          <t>0000100095</t>
        </is>
      </c>
      <c r="C2239" s="3" t="n">
        <v>46010</v>
      </c>
      <c r="D2239" s="3" t="n">
        <v>46055</v>
      </c>
      <c r="E2239" s="4" t="n">
        <v>1165.24</v>
      </c>
      <c r="F2239">
        <f>Summary!$B$3-D2239</f>
        <v/>
      </c>
      <c r="G2239">
        <f>IF(D2239&gt;Summary!$B$3,"Current",IF(F2239&lt;=30,"0-30",IF(F2239&lt;=60,"31-60",IF(F2239&lt;=90,"61-90","90+"))))</f>
        <v/>
      </c>
    </row>
    <row r="2240">
      <c r="A2240" t="inlineStr">
        <is>
          <t>0009029508</t>
        </is>
      </c>
      <c r="B2240" t="inlineStr">
        <is>
          <t>0000100415</t>
        </is>
      </c>
      <c r="C2240" s="3" t="n">
        <v>46010</v>
      </c>
      <c r="D2240" s="3" t="n">
        <v>46040</v>
      </c>
      <c r="E2240" s="4" t="n">
        <v>644.54</v>
      </c>
      <c r="F2240">
        <f>Summary!$B$3-D2240</f>
        <v/>
      </c>
      <c r="G2240">
        <f>IF(D2240&gt;Summary!$B$3,"Current",IF(F2240&lt;=30,"0-30",IF(F2240&lt;=60,"31-60",IF(F2240&lt;=90,"61-90","90+"))))</f>
        <v/>
      </c>
    </row>
    <row r="2241">
      <c r="A2241" t="inlineStr">
        <is>
          <t>0009029509</t>
        </is>
      </c>
      <c r="B2241" t="inlineStr">
        <is>
          <t>0000100581</t>
        </is>
      </c>
      <c r="C2241" s="3" t="n">
        <v>46008</v>
      </c>
      <c r="D2241" s="3" t="n">
        <v>46038</v>
      </c>
      <c r="E2241" s="4" t="n">
        <v>71.92</v>
      </c>
      <c r="F2241">
        <f>Summary!$B$3-D2241</f>
        <v/>
      </c>
      <c r="G2241">
        <f>IF(D2241&gt;Summary!$B$3,"Current",IF(F2241&lt;=30,"0-30",IF(F2241&lt;=60,"31-60",IF(F2241&lt;=90,"61-90","90+"))))</f>
        <v/>
      </c>
    </row>
    <row r="2242">
      <c r="A2242" t="inlineStr">
        <is>
          <t>0009029510</t>
        </is>
      </c>
      <c r="B2242" t="inlineStr">
        <is>
          <t>0000100588</t>
        </is>
      </c>
      <c r="C2242" s="3" t="n">
        <v>46015</v>
      </c>
      <c r="D2242" s="3" t="n">
        <v>46045</v>
      </c>
      <c r="E2242" s="4" t="n">
        <v>1307.76</v>
      </c>
      <c r="F2242">
        <f>Summary!$B$3-D2242</f>
        <v/>
      </c>
      <c r="G2242">
        <f>IF(D2242&gt;Summary!$B$3,"Current",IF(F2242&lt;=30,"0-30",IF(F2242&lt;=60,"31-60",IF(F2242&lt;=90,"61-90","90+"))))</f>
        <v/>
      </c>
    </row>
    <row r="2243">
      <c r="A2243" t="inlineStr">
        <is>
          <t>0009029511</t>
        </is>
      </c>
      <c r="B2243" t="inlineStr">
        <is>
          <t>0000100249</t>
        </is>
      </c>
      <c r="C2243" s="3" t="n">
        <v>46013</v>
      </c>
      <c r="D2243" s="3" t="n">
        <v>46073</v>
      </c>
      <c r="E2243" s="4" t="n">
        <v>412.66</v>
      </c>
      <c r="F2243">
        <f>Summary!$B$3-D2243</f>
        <v/>
      </c>
      <c r="G2243">
        <f>IF(D2243&gt;Summary!$B$3,"Current",IF(F2243&lt;=30,"0-30",IF(F2243&lt;=60,"31-60",IF(F2243&lt;=90,"61-90","90+"))))</f>
        <v/>
      </c>
    </row>
    <row r="2244">
      <c r="A2244" t="inlineStr">
        <is>
          <t>0009029512</t>
        </is>
      </c>
      <c r="B2244" t="inlineStr">
        <is>
          <t>0000100444</t>
        </is>
      </c>
      <c r="C2244" s="3" t="n">
        <v>46013</v>
      </c>
      <c r="D2244" s="3" t="n">
        <v>46043</v>
      </c>
      <c r="E2244" s="4" t="n">
        <v>481.95</v>
      </c>
      <c r="F2244">
        <f>Summary!$B$3-D2244</f>
        <v/>
      </c>
      <c r="G2244">
        <f>IF(D2244&gt;Summary!$B$3,"Current",IF(F2244&lt;=30,"0-30",IF(F2244&lt;=60,"31-60",IF(F2244&lt;=90,"61-90","90+"))))</f>
        <v/>
      </c>
    </row>
    <row r="2245">
      <c r="A2245" t="inlineStr">
        <is>
          <t>0009029513</t>
        </is>
      </c>
      <c r="B2245" t="inlineStr">
        <is>
          <t>0000100325</t>
        </is>
      </c>
      <c r="C2245" s="3" t="n">
        <v>46020</v>
      </c>
      <c r="D2245" s="3" t="n">
        <v>46050</v>
      </c>
      <c r="E2245" s="4" t="n">
        <v>809.92</v>
      </c>
      <c r="F2245">
        <f>Summary!$B$3-D2245</f>
        <v/>
      </c>
      <c r="G2245">
        <f>IF(D2245&gt;Summary!$B$3,"Current",IF(F2245&lt;=30,"0-30",IF(F2245&lt;=60,"31-60",IF(F2245&lt;=90,"61-90","90+"))))</f>
        <v/>
      </c>
    </row>
    <row r="2246">
      <c r="A2246" t="inlineStr">
        <is>
          <t>0009029514</t>
        </is>
      </c>
      <c r="B2246" t="inlineStr">
        <is>
          <t>0000100102</t>
        </is>
      </c>
      <c r="C2246" s="3" t="n">
        <v>46016</v>
      </c>
      <c r="D2246" s="3" t="n">
        <v>46046</v>
      </c>
      <c r="E2246" s="4" t="n">
        <v>536.4</v>
      </c>
      <c r="F2246">
        <f>Summary!$B$3-D2246</f>
        <v/>
      </c>
      <c r="G2246">
        <f>IF(D2246&gt;Summary!$B$3,"Current",IF(F2246&lt;=30,"0-30",IF(F2246&lt;=60,"31-60",IF(F2246&lt;=90,"61-90","90+"))))</f>
        <v/>
      </c>
    </row>
    <row r="2247">
      <c r="A2247" t="inlineStr">
        <is>
          <t>0009029515</t>
        </is>
      </c>
      <c r="B2247" t="inlineStr">
        <is>
          <t>0000100444</t>
        </is>
      </c>
      <c r="C2247" s="3" t="n">
        <v>46021</v>
      </c>
      <c r="D2247" s="3" t="n">
        <v>46051</v>
      </c>
      <c r="E2247" s="4" t="n">
        <v>529.12</v>
      </c>
      <c r="F2247">
        <f>Summary!$B$3-D2247</f>
        <v/>
      </c>
      <c r="G2247">
        <f>IF(D2247&gt;Summary!$B$3,"Current",IF(F2247&lt;=30,"0-30",IF(F2247&lt;=60,"31-60",IF(F2247&lt;=90,"61-90","90+"))))</f>
        <v/>
      </c>
    </row>
    <row r="2248">
      <c r="A2248" t="inlineStr">
        <is>
          <t>0009029516</t>
        </is>
      </c>
      <c r="B2248" t="inlineStr">
        <is>
          <t>0000100577</t>
        </is>
      </c>
      <c r="C2248" s="3" t="n">
        <v>46018</v>
      </c>
      <c r="D2248" s="3" t="n">
        <v>46048</v>
      </c>
      <c r="E2248" s="4" t="n">
        <v>5280.69</v>
      </c>
      <c r="F2248">
        <f>Summary!$B$3-D2248</f>
        <v/>
      </c>
      <c r="G2248">
        <f>IF(D2248&gt;Summary!$B$3,"Current",IF(F2248&lt;=30,"0-30",IF(F2248&lt;=60,"31-60",IF(F2248&lt;=90,"61-90","90+"))))</f>
        <v/>
      </c>
    </row>
    <row r="2249">
      <c r="A2249" t="inlineStr">
        <is>
          <t>0009029517</t>
        </is>
      </c>
      <c r="B2249" t="inlineStr">
        <is>
          <t>0000100348</t>
        </is>
      </c>
      <c r="C2249" s="3" t="n">
        <v>46014</v>
      </c>
      <c r="D2249" s="3" t="n">
        <v>46074</v>
      </c>
      <c r="E2249" s="4" t="n">
        <v>2484.2</v>
      </c>
      <c r="F2249">
        <f>Summary!$B$3-D2249</f>
        <v/>
      </c>
      <c r="G2249">
        <f>IF(D2249&gt;Summary!$B$3,"Current",IF(F2249&lt;=30,"0-30",IF(F2249&lt;=60,"31-60",IF(F2249&lt;=90,"61-90","90+"))))</f>
        <v/>
      </c>
    </row>
    <row r="2250">
      <c r="A2250" t="inlineStr">
        <is>
          <t>0009029518</t>
        </is>
      </c>
      <c r="B2250" t="inlineStr">
        <is>
          <t>0000100371</t>
        </is>
      </c>
      <c r="C2250" s="3" t="n">
        <v>46015</v>
      </c>
      <c r="D2250" s="3" t="n">
        <v>46045</v>
      </c>
      <c r="E2250" s="4" t="n">
        <v>3803.26</v>
      </c>
      <c r="F2250">
        <f>Summary!$B$3-D2250</f>
        <v/>
      </c>
      <c r="G2250">
        <f>IF(D2250&gt;Summary!$B$3,"Current",IF(F2250&lt;=30,"0-30",IF(F2250&lt;=60,"31-60",IF(F2250&lt;=90,"61-90","90+"))))</f>
        <v/>
      </c>
    </row>
    <row r="2251">
      <c r="A2251" t="inlineStr">
        <is>
          <t>0009029519</t>
        </is>
      </c>
      <c r="B2251" t="inlineStr">
        <is>
          <t>0000100125</t>
        </is>
      </c>
      <c r="C2251" s="3" t="n">
        <v>46014</v>
      </c>
      <c r="D2251" s="3" t="n">
        <v>46044</v>
      </c>
      <c r="E2251" s="4" t="n">
        <v>3540.94</v>
      </c>
      <c r="F2251">
        <f>Summary!$B$3-D2251</f>
        <v/>
      </c>
      <c r="G2251">
        <f>IF(D2251&gt;Summary!$B$3,"Current",IF(F2251&lt;=30,"0-30",IF(F2251&lt;=60,"31-60",IF(F2251&lt;=90,"61-90","90+"))))</f>
        <v/>
      </c>
    </row>
    <row r="2252">
      <c r="A2252" t="inlineStr">
        <is>
          <t>0009029520</t>
        </is>
      </c>
      <c r="B2252" t="inlineStr">
        <is>
          <t>0000100074</t>
        </is>
      </c>
      <c r="C2252" s="3" t="n">
        <v>46018</v>
      </c>
      <c r="D2252" s="3" t="n">
        <v>46063</v>
      </c>
      <c r="E2252" s="4" t="n">
        <v>154.92</v>
      </c>
      <c r="F2252">
        <f>Summary!$B$3-D2252</f>
        <v/>
      </c>
      <c r="G2252">
        <f>IF(D2252&gt;Summary!$B$3,"Current",IF(F2252&lt;=30,"0-30",IF(F2252&lt;=60,"31-60",IF(F2252&lt;=90,"61-90","90+"))))</f>
        <v/>
      </c>
    </row>
    <row r="2253">
      <c r="A2253" t="inlineStr">
        <is>
          <t>0009029521</t>
        </is>
      </c>
      <c r="B2253" t="inlineStr">
        <is>
          <t>0000100056</t>
        </is>
      </c>
      <c r="C2253" s="3" t="n">
        <v>46017</v>
      </c>
      <c r="D2253" s="3" t="n">
        <v>46077</v>
      </c>
      <c r="E2253" s="4" t="n">
        <v>843.4299999999999</v>
      </c>
      <c r="F2253">
        <f>Summary!$B$3-D2253</f>
        <v/>
      </c>
      <c r="G2253">
        <f>IF(D2253&gt;Summary!$B$3,"Current",IF(F2253&lt;=30,"0-30",IF(F2253&lt;=60,"31-60",IF(F2253&lt;=90,"61-90","90+"))))</f>
        <v/>
      </c>
    </row>
    <row r="2254">
      <c r="A2254" t="inlineStr">
        <is>
          <t>0009029522</t>
        </is>
      </c>
      <c r="B2254" t="inlineStr">
        <is>
          <t>0000100219</t>
        </is>
      </c>
      <c r="C2254" s="3" t="n">
        <v>46012</v>
      </c>
      <c r="D2254" s="3" t="n">
        <v>46042</v>
      </c>
      <c r="E2254" s="4" t="n">
        <v>451.9</v>
      </c>
      <c r="F2254">
        <f>Summary!$B$3-D2254</f>
        <v/>
      </c>
      <c r="G2254">
        <f>IF(D2254&gt;Summary!$B$3,"Current",IF(F2254&lt;=30,"0-30",IF(F2254&lt;=60,"31-60",IF(F2254&lt;=90,"61-90","90+"))))</f>
        <v/>
      </c>
    </row>
    <row r="2255">
      <c r="A2255" t="inlineStr">
        <is>
          <t>0009029523</t>
        </is>
      </c>
      <c r="B2255" t="inlineStr">
        <is>
          <t>0000100074</t>
        </is>
      </c>
      <c r="C2255" s="3" t="n">
        <v>46016</v>
      </c>
      <c r="D2255" s="3" t="n">
        <v>46061</v>
      </c>
      <c r="E2255" s="4" t="n">
        <v>350.88</v>
      </c>
      <c r="F2255">
        <f>Summary!$B$3-D2255</f>
        <v/>
      </c>
      <c r="G2255">
        <f>IF(D2255&gt;Summary!$B$3,"Current",IF(F2255&lt;=30,"0-30",IF(F2255&lt;=60,"31-60",IF(F2255&lt;=90,"61-90","90+"))))</f>
        <v/>
      </c>
    </row>
    <row r="2256">
      <c r="A2256" t="inlineStr">
        <is>
          <t>0009029524</t>
        </is>
      </c>
      <c r="B2256" t="inlineStr">
        <is>
          <t>0000100228</t>
        </is>
      </c>
      <c r="C2256" s="3" t="n">
        <v>46012</v>
      </c>
      <c r="D2256" s="3" t="n">
        <v>46072</v>
      </c>
      <c r="E2256" s="4" t="n">
        <v>1526.36</v>
      </c>
      <c r="F2256">
        <f>Summary!$B$3-D2256</f>
        <v/>
      </c>
      <c r="G2256">
        <f>IF(D2256&gt;Summary!$B$3,"Current",IF(F2256&lt;=30,"0-30",IF(F2256&lt;=60,"31-60",IF(F2256&lt;=90,"61-90","90+"))))</f>
        <v/>
      </c>
    </row>
    <row r="2257">
      <c r="A2257" t="inlineStr">
        <is>
          <t>0009029525</t>
        </is>
      </c>
      <c r="B2257" t="inlineStr">
        <is>
          <t>0000100051</t>
        </is>
      </c>
      <c r="C2257" s="3" t="n">
        <v>46020</v>
      </c>
      <c r="D2257" s="3" t="n">
        <v>46080</v>
      </c>
      <c r="E2257" s="4" t="n">
        <v>340.19</v>
      </c>
      <c r="F2257">
        <f>Summary!$B$3-D2257</f>
        <v/>
      </c>
      <c r="G2257">
        <f>IF(D2257&gt;Summary!$B$3,"Current",IF(F2257&lt;=30,"0-30",IF(F2257&lt;=60,"31-60",IF(F2257&lt;=90,"61-90","90+"))))</f>
        <v/>
      </c>
    </row>
    <row r="2258">
      <c r="A2258" t="inlineStr">
        <is>
          <t>0009029526</t>
        </is>
      </c>
      <c r="B2258" t="inlineStr">
        <is>
          <t>0000100035</t>
        </is>
      </c>
      <c r="C2258" s="3" t="n">
        <v>46012</v>
      </c>
      <c r="D2258" s="3" t="n">
        <v>46042</v>
      </c>
      <c r="E2258" s="4" t="n">
        <v>1106.95</v>
      </c>
      <c r="F2258">
        <f>Summary!$B$3-D2258</f>
        <v/>
      </c>
      <c r="G2258">
        <f>IF(D2258&gt;Summary!$B$3,"Current",IF(F2258&lt;=30,"0-30",IF(F2258&lt;=60,"31-60",IF(F2258&lt;=90,"61-90","90+"))))</f>
        <v/>
      </c>
    </row>
    <row r="2259">
      <c r="A2259" t="inlineStr">
        <is>
          <t>0009029527</t>
        </is>
      </c>
      <c r="B2259" t="inlineStr">
        <is>
          <t>0000100164</t>
        </is>
      </c>
      <c r="C2259" s="3" t="n">
        <v>46010</v>
      </c>
      <c r="D2259" s="3" t="n">
        <v>46070</v>
      </c>
      <c r="E2259" s="4" t="n">
        <v>20.08</v>
      </c>
      <c r="F2259">
        <f>Summary!$B$3-D2259</f>
        <v/>
      </c>
      <c r="G2259">
        <f>IF(D2259&gt;Summary!$B$3,"Current",IF(F2259&lt;=30,"0-30",IF(F2259&lt;=60,"31-60",IF(F2259&lt;=90,"61-90","90+"))))</f>
        <v/>
      </c>
    </row>
    <row r="2260">
      <c r="A2260" t="inlineStr">
        <is>
          <t>0009029528</t>
        </is>
      </c>
      <c r="B2260" t="inlineStr">
        <is>
          <t>0000100163</t>
        </is>
      </c>
      <c r="C2260" s="3" t="n">
        <v>46013</v>
      </c>
      <c r="D2260" s="3" t="n">
        <v>46043</v>
      </c>
      <c r="E2260" s="4" t="n">
        <v>596.34</v>
      </c>
      <c r="F2260">
        <f>Summary!$B$3-D2260</f>
        <v/>
      </c>
      <c r="G2260">
        <f>IF(D2260&gt;Summary!$B$3,"Current",IF(F2260&lt;=30,"0-30",IF(F2260&lt;=60,"31-60",IF(F2260&lt;=90,"61-90","90+"))))</f>
        <v/>
      </c>
    </row>
    <row r="2261">
      <c r="A2261" t="inlineStr">
        <is>
          <t>0009029529</t>
        </is>
      </c>
      <c r="B2261" t="inlineStr">
        <is>
          <t>0000100315</t>
        </is>
      </c>
      <c r="C2261" s="3" t="n">
        <v>46016</v>
      </c>
      <c r="D2261" s="3" t="n">
        <v>46076</v>
      </c>
      <c r="E2261" s="4" t="n">
        <v>258.57</v>
      </c>
      <c r="F2261">
        <f>Summary!$B$3-D2261</f>
        <v/>
      </c>
      <c r="G2261">
        <f>IF(D2261&gt;Summary!$B$3,"Current",IF(F2261&lt;=30,"0-30",IF(F2261&lt;=60,"31-60",IF(F2261&lt;=90,"61-90","90+"))))</f>
        <v/>
      </c>
    </row>
    <row r="2262">
      <c r="A2262" t="inlineStr">
        <is>
          <t>0009029530</t>
        </is>
      </c>
      <c r="B2262" t="inlineStr">
        <is>
          <t>0000100352</t>
        </is>
      </c>
      <c r="C2262" s="3" t="n">
        <v>46015</v>
      </c>
      <c r="D2262" s="3" t="n">
        <v>46045</v>
      </c>
      <c r="E2262" s="4" t="n">
        <v>2367.84</v>
      </c>
      <c r="F2262">
        <f>Summary!$B$3-D2262</f>
        <v/>
      </c>
      <c r="G2262">
        <f>IF(D2262&gt;Summary!$B$3,"Current",IF(F2262&lt;=30,"0-30",IF(F2262&lt;=60,"31-60",IF(F2262&lt;=90,"61-90","90+"))))</f>
        <v/>
      </c>
    </row>
    <row r="2263">
      <c r="A2263" t="inlineStr">
        <is>
          <t>0009029532</t>
        </is>
      </c>
      <c r="B2263" t="inlineStr">
        <is>
          <t>0000100071</t>
        </is>
      </c>
      <c r="C2263" s="3" t="n">
        <v>46011</v>
      </c>
      <c r="D2263" s="3" t="n">
        <v>46056</v>
      </c>
      <c r="E2263" s="4" t="n">
        <v>273.2</v>
      </c>
      <c r="F2263">
        <f>Summary!$B$3-D2263</f>
        <v/>
      </c>
      <c r="G2263">
        <f>IF(D2263&gt;Summary!$B$3,"Current",IF(F2263&lt;=30,"0-30",IF(F2263&lt;=60,"31-60",IF(F2263&lt;=90,"61-90","90+"))))</f>
        <v/>
      </c>
    </row>
    <row r="2264">
      <c r="A2264" t="inlineStr">
        <is>
          <t>0009029533</t>
        </is>
      </c>
      <c r="B2264" t="inlineStr">
        <is>
          <t>0000100219</t>
        </is>
      </c>
      <c r="C2264" s="3" t="n">
        <v>46018</v>
      </c>
      <c r="D2264" s="3" t="n">
        <v>46048</v>
      </c>
      <c r="E2264" s="4" t="n">
        <v>2276.12</v>
      </c>
      <c r="F2264">
        <f>Summary!$B$3-D2264</f>
        <v/>
      </c>
      <c r="G2264">
        <f>IF(D2264&gt;Summary!$B$3,"Current",IF(F2264&lt;=30,"0-30",IF(F2264&lt;=60,"31-60",IF(F2264&lt;=90,"61-90","90+"))))</f>
        <v/>
      </c>
    </row>
    <row r="2265">
      <c r="A2265" t="inlineStr">
        <is>
          <t>0009029534</t>
        </is>
      </c>
      <c r="B2265" t="inlineStr">
        <is>
          <t>0000100525</t>
        </is>
      </c>
      <c r="C2265" s="3" t="n">
        <v>46015</v>
      </c>
      <c r="D2265" s="3" t="n">
        <v>46060</v>
      </c>
      <c r="E2265" s="4" t="n">
        <v>231.22</v>
      </c>
      <c r="F2265">
        <f>Summary!$B$3-D2265</f>
        <v/>
      </c>
      <c r="G2265">
        <f>IF(D2265&gt;Summary!$B$3,"Current",IF(F2265&lt;=30,"0-30",IF(F2265&lt;=60,"31-60",IF(F2265&lt;=90,"61-90","90+"))))</f>
        <v/>
      </c>
    </row>
    <row r="2266">
      <c r="A2266" t="inlineStr">
        <is>
          <t>0009029535</t>
        </is>
      </c>
      <c r="B2266" t="inlineStr">
        <is>
          <t>0000100338</t>
        </is>
      </c>
      <c r="C2266" s="3" t="n">
        <v>46015</v>
      </c>
      <c r="D2266" s="3" t="n">
        <v>46075</v>
      </c>
      <c r="E2266" s="4" t="n">
        <v>1535.94</v>
      </c>
      <c r="F2266">
        <f>Summary!$B$3-D2266</f>
        <v/>
      </c>
      <c r="G2266">
        <f>IF(D2266&gt;Summary!$B$3,"Current",IF(F2266&lt;=30,"0-30",IF(F2266&lt;=60,"31-60",IF(F2266&lt;=90,"61-90","90+"))))</f>
        <v/>
      </c>
    </row>
    <row r="2267">
      <c r="A2267" t="inlineStr">
        <is>
          <t>0009029536</t>
        </is>
      </c>
      <c r="B2267" t="inlineStr">
        <is>
          <t>0000100279</t>
        </is>
      </c>
      <c r="C2267" s="3" t="n">
        <v>46012</v>
      </c>
      <c r="D2267" s="3" t="n">
        <v>46057</v>
      </c>
      <c r="E2267" s="4" t="n">
        <v>501.24</v>
      </c>
      <c r="F2267">
        <f>Summary!$B$3-D2267</f>
        <v/>
      </c>
      <c r="G2267">
        <f>IF(D2267&gt;Summary!$B$3,"Current",IF(F2267&lt;=30,"0-30",IF(F2267&lt;=60,"31-60",IF(F2267&lt;=90,"61-90","90+"))))</f>
        <v/>
      </c>
    </row>
    <row r="2268">
      <c r="A2268" t="inlineStr">
        <is>
          <t>0009029537</t>
        </is>
      </c>
      <c r="B2268" t="inlineStr">
        <is>
          <t>0000100550</t>
        </is>
      </c>
      <c r="C2268" s="3" t="n">
        <v>46020</v>
      </c>
      <c r="D2268" s="3" t="n">
        <v>46050</v>
      </c>
      <c r="E2268" s="4" t="n">
        <v>531.76</v>
      </c>
      <c r="F2268">
        <f>Summary!$B$3-D2268</f>
        <v/>
      </c>
      <c r="G2268">
        <f>IF(D2268&gt;Summary!$B$3,"Current",IF(F2268&lt;=30,"0-30",IF(F2268&lt;=60,"31-60",IF(F2268&lt;=90,"61-90","90+"))))</f>
        <v/>
      </c>
    </row>
    <row r="2269">
      <c r="A2269" t="inlineStr">
        <is>
          <t>0009029538</t>
        </is>
      </c>
      <c r="B2269" t="inlineStr">
        <is>
          <t>0000100128</t>
        </is>
      </c>
      <c r="C2269" s="3" t="n">
        <v>46019</v>
      </c>
      <c r="D2269" s="3" t="n">
        <v>46049</v>
      </c>
      <c r="E2269" s="4" t="n">
        <v>994.37</v>
      </c>
      <c r="F2269">
        <f>Summary!$B$3-D2269</f>
        <v/>
      </c>
      <c r="G2269">
        <f>IF(D2269&gt;Summary!$B$3,"Current",IF(F2269&lt;=30,"0-30",IF(F2269&lt;=60,"31-60",IF(F2269&lt;=90,"61-90","90+"))))</f>
        <v/>
      </c>
    </row>
    <row r="2270">
      <c r="A2270" t="inlineStr">
        <is>
          <t>0009029539</t>
        </is>
      </c>
      <c r="B2270" t="inlineStr">
        <is>
          <t>0000100125</t>
        </is>
      </c>
      <c r="C2270" s="3" t="n">
        <v>46011</v>
      </c>
      <c r="D2270" s="3" t="n">
        <v>46041</v>
      </c>
      <c r="E2270" s="4" t="n">
        <v>281.9</v>
      </c>
      <c r="F2270">
        <f>Summary!$B$3-D2270</f>
        <v/>
      </c>
      <c r="G2270">
        <f>IF(D2270&gt;Summary!$B$3,"Current",IF(F2270&lt;=30,"0-30",IF(F2270&lt;=60,"31-60",IF(F2270&lt;=90,"61-90","90+"))))</f>
        <v/>
      </c>
    </row>
    <row r="2271">
      <c r="A2271" t="inlineStr">
        <is>
          <t>0009029540</t>
        </is>
      </c>
      <c r="B2271" t="inlineStr">
        <is>
          <t>0000100550</t>
        </is>
      </c>
      <c r="C2271" s="3" t="n">
        <v>46015</v>
      </c>
      <c r="D2271" s="3" t="n">
        <v>46045</v>
      </c>
      <c r="E2271" s="4" t="n">
        <v>5303.26</v>
      </c>
      <c r="F2271">
        <f>Summary!$B$3-D2271</f>
        <v/>
      </c>
      <c r="G2271">
        <f>IF(D2271&gt;Summary!$B$3,"Current",IF(F2271&lt;=30,"0-30",IF(F2271&lt;=60,"31-60",IF(F2271&lt;=90,"61-90","90+"))))</f>
        <v/>
      </c>
    </row>
    <row r="2272">
      <c r="A2272" t="inlineStr">
        <is>
          <t>0009029541</t>
        </is>
      </c>
      <c r="B2272" t="inlineStr">
        <is>
          <t>0000100339</t>
        </is>
      </c>
      <c r="C2272" s="3" t="n">
        <v>46017</v>
      </c>
      <c r="D2272" s="3" t="n">
        <v>46047</v>
      </c>
      <c r="E2272" s="4" t="n">
        <v>1029.98</v>
      </c>
      <c r="F2272">
        <f>Summary!$B$3-D2272</f>
        <v/>
      </c>
      <c r="G2272">
        <f>IF(D2272&gt;Summary!$B$3,"Current",IF(F2272&lt;=30,"0-30",IF(F2272&lt;=60,"31-60",IF(F2272&lt;=90,"61-90","90+"))))</f>
        <v/>
      </c>
    </row>
    <row r="2273">
      <c r="A2273" t="inlineStr">
        <is>
          <t>0009029542</t>
        </is>
      </c>
      <c r="B2273" t="inlineStr">
        <is>
          <t>0000100552</t>
        </is>
      </c>
      <c r="C2273" s="3" t="n">
        <v>46012</v>
      </c>
      <c r="D2273" s="3" t="n">
        <v>46042</v>
      </c>
      <c r="E2273" s="4" t="n">
        <v>1401.9</v>
      </c>
      <c r="F2273">
        <f>Summary!$B$3-D2273</f>
        <v/>
      </c>
      <c r="G2273">
        <f>IF(D2273&gt;Summary!$B$3,"Current",IF(F2273&lt;=30,"0-30",IF(F2273&lt;=60,"31-60",IF(F2273&lt;=90,"61-90","90+"))))</f>
        <v/>
      </c>
    </row>
    <row r="2274">
      <c r="A2274" t="inlineStr">
        <is>
          <t>0009029543</t>
        </is>
      </c>
      <c r="B2274" t="inlineStr">
        <is>
          <t>0000100256</t>
        </is>
      </c>
      <c r="C2274" s="3" t="n">
        <v>46017</v>
      </c>
      <c r="D2274" s="3" t="n">
        <v>46062</v>
      </c>
      <c r="E2274" s="4" t="n">
        <v>38.72</v>
      </c>
      <c r="F2274">
        <f>Summary!$B$3-D2274</f>
        <v/>
      </c>
      <c r="G2274">
        <f>IF(D2274&gt;Summary!$B$3,"Current",IF(F2274&lt;=30,"0-30",IF(F2274&lt;=60,"31-60",IF(F2274&lt;=90,"61-90","90+"))))</f>
        <v/>
      </c>
    </row>
    <row r="2275">
      <c r="A2275" t="inlineStr">
        <is>
          <t>0009029544</t>
        </is>
      </c>
      <c r="B2275" t="inlineStr">
        <is>
          <t>0000100073</t>
        </is>
      </c>
      <c r="C2275" s="3" t="n">
        <v>46016</v>
      </c>
      <c r="D2275" s="3" t="n">
        <v>46061</v>
      </c>
      <c r="E2275" s="4" t="n">
        <v>54.66</v>
      </c>
      <c r="F2275">
        <f>Summary!$B$3-D2275</f>
        <v/>
      </c>
      <c r="G2275">
        <f>IF(D2275&gt;Summary!$B$3,"Current",IF(F2275&lt;=30,"0-30",IF(F2275&lt;=60,"31-60",IF(F2275&lt;=90,"61-90","90+"))))</f>
        <v/>
      </c>
    </row>
    <row r="2276">
      <c r="A2276" t="inlineStr">
        <is>
          <t>0009029545</t>
        </is>
      </c>
      <c r="B2276" t="inlineStr">
        <is>
          <t>0000100377</t>
        </is>
      </c>
      <c r="C2276" s="3" t="n">
        <v>46011</v>
      </c>
      <c r="D2276" s="3" t="n">
        <v>46041</v>
      </c>
      <c r="E2276" s="4" t="n">
        <v>1114.63</v>
      </c>
      <c r="F2276">
        <f>Summary!$B$3-D2276</f>
        <v/>
      </c>
      <c r="G2276">
        <f>IF(D2276&gt;Summary!$B$3,"Current",IF(F2276&lt;=30,"0-30",IF(F2276&lt;=60,"31-60",IF(F2276&lt;=90,"61-90","90+"))))</f>
        <v/>
      </c>
    </row>
    <row r="2277">
      <c r="A2277" t="inlineStr">
        <is>
          <t>0009029546</t>
        </is>
      </c>
      <c r="B2277" t="inlineStr">
        <is>
          <t>0000100550</t>
        </is>
      </c>
      <c r="C2277" s="3" t="n">
        <v>46016</v>
      </c>
      <c r="D2277" s="3" t="n">
        <v>46046</v>
      </c>
      <c r="E2277" s="4" t="n">
        <v>872.5599999999999</v>
      </c>
      <c r="F2277">
        <f>Summary!$B$3-D2277</f>
        <v/>
      </c>
      <c r="G2277">
        <f>IF(D2277&gt;Summary!$B$3,"Current",IF(F2277&lt;=30,"0-30",IF(F2277&lt;=60,"31-60",IF(F2277&lt;=90,"61-90","90+"))))</f>
        <v/>
      </c>
    </row>
    <row r="2278">
      <c r="A2278" t="inlineStr">
        <is>
          <t>0009029547</t>
        </is>
      </c>
      <c r="B2278" t="inlineStr">
        <is>
          <t>0000100357</t>
        </is>
      </c>
      <c r="C2278" s="3" t="n">
        <v>46021</v>
      </c>
      <c r="D2278" s="3" t="n">
        <v>46066</v>
      </c>
      <c r="E2278" s="4" t="n">
        <v>1326.22</v>
      </c>
      <c r="F2278">
        <f>Summary!$B$3-D2278</f>
        <v/>
      </c>
      <c r="G2278">
        <f>IF(D2278&gt;Summary!$B$3,"Current",IF(F2278&lt;=30,"0-30",IF(F2278&lt;=60,"31-60",IF(F2278&lt;=90,"61-90","90+"))))</f>
        <v/>
      </c>
    </row>
    <row r="2279">
      <c r="A2279" t="inlineStr">
        <is>
          <t>0009029548</t>
        </is>
      </c>
      <c r="B2279" t="inlineStr">
        <is>
          <t>0000100058</t>
        </is>
      </c>
      <c r="C2279" s="3" t="n">
        <v>46013</v>
      </c>
      <c r="D2279" s="3" t="n">
        <v>46058</v>
      </c>
      <c r="E2279" s="4" t="n">
        <v>617.91</v>
      </c>
      <c r="F2279">
        <f>Summary!$B$3-D2279</f>
        <v/>
      </c>
      <c r="G2279">
        <f>IF(D2279&gt;Summary!$B$3,"Current",IF(F2279&lt;=30,"0-30",IF(F2279&lt;=60,"31-60",IF(F2279&lt;=90,"61-90","90+"))))</f>
        <v/>
      </c>
    </row>
    <row r="2280">
      <c r="A2280" t="inlineStr">
        <is>
          <t>0009029549</t>
        </is>
      </c>
      <c r="B2280" t="inlineStr">
        <is>
          <t>0000100201</t>
        </is>
      </c>
      <c r="C2280" s="3" t="n">
        <v>46013</v>
      </c>
      <c r="D2280" s="3" t="n">
        <v>46043</v>
      </c>
      <c r="E2280" s="4" t="n">
        <v>117.02</v>
      </c>
      <c r="F2280">
        <f>Summary!$B$3-D2280</f>
        <v/>
      </c>
      <c r="G2280">
        <f>IF(D2280&gt;Summary!$B$3,"Current",IF(F2280&lt;=30,"0-30",IF(F2280&lt;=60,"31-60",IF(F2280&lt;=90,"61-90","90+"))))</f>
        <v/>
      </c>
    </row>
    <row r="2281">
      <c r="A2281" t="inlineStr">
        <is>
          <t>0009029550</t>
        </is>
      </c>
      <c r="B2281" t="inlineStr">
        <is>
          <t>0000100219</t>
        </is>
      </c>
      <c r="C2281" s="3" t="n">
        <v>46015</v>
      </c>
      <c r="D2281" s="3" t="n">
        <v>46045</v>
      </c>
      <c r="E2281" s="4" t="n">
        <v>447.76</v>
      </c>
      <c r="F2281">
        <f>Summary!$B$3-D2281</f>
        <v/>
      </c>
      <c r="G2281">
        <f>IF(D2281&gt;Summary!$B$3,"Current",IF(F2281&lt;=30,"0-30",IF(F2281&lt;=60,"31-60",IF(F2281&lt;=90,"61-90","90+"))))</f>
        <v/>
      </c>
    </row>
    <row r="2282">
      <c r="A2282" t="inlineStr">
        <is>
          <t>0009029551</t>
        </is>
      </c>
      <c r="B2282" t="inlineStr">
        <is>
          <t>0000100219</t>
        </is>
      </c>
      <c r="C2282" s="3" t="n">
        <v>46018</v>
      </c>
      <c r="D2282" s="3" t="n">
        <v>46048</v>
      </c>
      <c r="E2282" s="4" t="n">
        <v>1875.58</v>
      </c>
      <c r="F2282">
        <f>Summary!$B$3-D2282</f>
        <v/>
      </c>
      <c r="G2282">
        <f>IF(D2282&gt;Summary!$B$3,"Current",IF(F2282&lt;=30,"0-30",IF(F2282&lt;=60,"31-60",IF(F2282&lt;=90,"61-90","90+"))))</f>
        <v/>
      </c>
    </row>
    <row r="2283">
      <c r="A2283" t="inlineStr">
        <is>
          <t>0009029552</t>
        </is>
      </c>
      <c r="B2283" t="inlineStr">
        <is>
          <t>0000100472</t>
        </is>
      </c>
      <c r="C2283" s="3" t="n">
        <v>46020</v>
      </c>
      <c r="D2283" s="3" t="n">
        <v>46050</v>
      </c>
      <c r="E2283" s="4" t="n">
        <v>754</v>
      </c>
      <c r="F2283">
        <f>Summary!$B$3-D2283</f>
        <v/>
      </c>
      <c r="G2283">
        <f>IF(D2283&gt;Summary!$B$3,"Current",IF(F2283&lt;=30,"0-30",IF(F2283&lt;=60,"31-60",IF(F2283&lt;=90,"61-90","90+"))))</f>
        <v/>
      </c>
    </row>
    <row r="2284">
      <c r="A2284" t="inlineStr">
        <is>
          <t>0009029553</t>
        </is>
      </c>
      <c r="B2284" t="inlineStr">
        <is>
          <t>0000100447</t>
        </is>
      </c>
      <c r="C2284" s="3" t="n">
        <v>46015</v>
      </c>
      <c r="D2284" s="3" t="n">
        <v>46060</v>
      </c>
      <c r="E2284" s="4" t="n">
        <v>412.77</v>
      </c>
      <c r="F2284">
        <f>Summary!$B$3-D2284</f>
        <v/>
      </c>
      <c r="G2284">
        <f>IF(D2284&gt;Summary!$B$3,"Current",IF(F2284&lt;=30,"0-30",IF(F2284&lt;=60,"31-60",IF(F2284&lt;=90,"61-90","90+"))))</f>
        <v/>
      </c>
    </row>
    <row r="2285">
      <c r="A2285" t="inlineStr">
        <is>
          <t>0009029554</t>
        </is>
      </c>
      <c r="B2285" t="inlineStr">
        <is>
          <t>0000100259</t>
        </is>
      </c>
      <c r="C2285" s="3" t="n">
        <v>46013</v>
      </c>
      <c r="D2285" s="3" t="n">
        <v>46058</v>
      </c>
      <c r="E2285" s="4" t="n">
        <v>2667.07</v>
      </c>
      <c r="F2285">
        <f>Summary!$B$3-D2285</f>
        <v/>
      </c>
      <c r="G2285">
        <f>IF(D2285&gt;Summary!$B$3,"Current",IF(F2285&lt;=30,"0-30",IF(F2285&lt;=60,"31-60",IF(F2285&lt;=90,"61-90","90+"))))</f>
        <v/>
      </c>
    </row>
    <row r="2286">
      <c r="A2286" t="inlineStr">
        <is>
          <t>0009029555</t>
        </is>
      </c>
      <c r="B2286" t="inlineStr">
        <is>
          <t>0000100226</t>
        </is>
      </c>
      <c r="C2286" s="3" t="n">
        <v>46016</v>
      </c>
      <c r="D2286" s="3" t="n">
        <v>46061</v>
      </c>
      <c r="E2286" s="4" t="n">
        <v>4249.11</v>
      </c>
      <c r="F2286">
        <f>Summary!$B$3-D2286</f>
        <v/>
      </c>
      <c r="G2286">
        <f>IF(D2286&gt;Summary!$B$3,"Current",IF(F2286&lt;=30,"0-30",IF(F2286&lt;=60,"31-60",IF(F2286&lt;=90,"61-90","90+"))))</f>
        <v/>
      </c>
    </row>
    <row r="2287">
      <c r="A2287" t="inlineStr">
        <is>
          <t>0009029556</t>
        </is>
      </c>
      <c r="B2287" t="inlineStr">
        <is>
          <t>0000100447</t>
        </is>
      </c>
      <c r="C2287" s="3" t="n">
        <v>46012</v>
      </c>
      <c r="D2287" s="3" t="n">
        <v>46057</v>
      </c>
      <c r="E2287" s="4" t="n">
        <v>455.63</v>
      </c>
      <c r="F2287">
        <f>Summary!$B$3-D2287</f>
        <v/>
      </c>
      <c r="G2287">
        <f>IF(D2287&gt;Summary!$B$3,"Current",IF(F2287&lt;=30,"0-30",IF(F2287&lt;=60,"31-60",IF(F2287&lt;=90,"61-90","90+"))))</f>
        <v/>
      </c>
    </row>
    <row r="2288">
      <c r="A2288" t="inlineStr">
        <is>
          <t>0009029557</t>
        </is>
      </c>
      <c r="B2288" t="inlineStr">
        <is>
          <t>0000100520</t>
        </is>
      </c>
      <c r="C2288" s="3" t="n">
        <v>46012</v>
      </c>
      <c r="D2288" s="3" t="n">
        <v>46057</v>
      </c>
      <c r="E2288" s="4" t="n">
        <v>2923.17</v>
      </c>
      <c r="F2288">
        <f>Summary!$B$3-D2288</f>
        <v/>
      </c>
      <c r="G2288">
        <f>IF(D2288&gt;Summary!$B$3,"Current",IF(F2288&lt;=30,"0-30",IF(F2288&lt;=60,"31-60",IF(F2288&lt;=90,"61-90","90+"))))</f>
        <v/>
      </c>
    </row>
    <row r="2289">
      <c r="A2289" t="inlineStr">
        <is>
          <t>0009029558</t>
        </is>
      </c>
      <c r="B2289" t="inlineStr">
        <is>
          <t>0000100429</t>
        </is>
      </c>
      <c r="C2289" s="3" t="n">
        <v>46019</v>
      </c>
      <c r="D2289" s="3" t="n">
        <v>46049</v>
      </c>
      <c r="E2289" s="4" t="n">
        <v>307.64</v>
      </c>
      <c r="F2289">
        <f>Summary!$B$3-D2289</f>
        <v/>
      </c>
      <c r="G2289">
        <f>IF(D2289&gt;Summary!$B$3,"Current",IF(F2289&lt;=30,"0-30",IF(F2289&lt;=60,"31-60",IF(F2289&lt;=90,"61-90","90+"))))</f>
        <v/>
      </c>
    </row>
    <row r="2290">
      <c r="A2290" t="inlineStr">
        <is>
          <t>0009029559</t>
        </is>
      </c>
      <c r="B2290" t="inlineStr">
        <is>
          <t>0000100409</t>
        </is>
      </c>
      <c r="C2290" s="3" t="n">
        <v>46017</v>
      </c>
      <c r="D2290" s="3" t="n">
        <v>46047</v>
      </c>
      <c r="E2290" s="4" t="n">
        <v>572.54</v>
      </c>
      <c r="F2290">
        <f>Summary!$B$3-D2290</f>
        <v/>
      </c>
      <c r="G2290">
        <f>IF(D2290&gt;Summary!$B$3,"Current",IF(F2290&lt;=30,"0-30",IF(F2290&lt;=60,"31-60",IF(F2290&lt;=90,"61-90","90+"))))</f>
        <v/>
      </c>
    </row>
    <row r="2291">
      <c r="A2291" t="inlineStr">
        <is>
          <t>0009029560</t>
        </is>
      </c>
      <c r="B2291" t="inlineStr">
        <is>
          <t>0000100465</t>
        </is>
      </c>
      <c r="C2291" s="3" t="n">
        <v>46015</v>
      </c>
      <c r="D2291" s="3" t="n">
        <v>46075</v>
      </c>
      <c r="E2291" s="4" t="n">
        <v>804.04</v>
      </c>
      <c r="F2291">
        <f>Summary!$B$3-D2291</f>
        <v/>
      </c>
      <c r="G2291">
        <f>IF(D2291&gt;Summary!$B$3,"Current",IF(F2291&lt;=30,"0-30",IF(F2291&lt;=60,"31-60",IF(F2291&lt;=90,"61-90","90+"))))</f>
        <v/>
      </c>
    </row>
    <row r="2292">
      <c r="A2292" t="inlineStr">
        <is>
          <t>0009029561</t>
        </is>
      </c>
      <c r="B2292" t="inlineStr">
        <is>
          <t>0000100490</t>
        </is>
      </c>
      <c r="C2292" s="3" t="n">
        <v>46018</v>
      </c>
      <c r="D2292" s="3" t="n">
        <v>46048</v>
      </c>
      <c r="E2292" s="4" t="n">
        <v>154.77</v>
      </c>
      <c r="F2292">
        <f>Summary!$B$3-D2292</f>
        <v/>
      </c>
      <c r="G2292">
        <f>IF(D2292&gt;Summary!$B$3,"Current",IF(F2292&lt;=30,"0-30",IF(F2292&lt;=60,"31-60",IF(F2292&lt;=90,"61-90","90+"))))</f>
        <v/>
      </c>
    </row>
    <row r="2293">
      <c r="A2293" t="inlineStr">
        <is>
          <t>0009029562</t>
        </is>
      </c>
      <c r="B2293" t="inlineStr">
        <is>
          <t>0000100002</t>
        </is>
      </c>
      <c r="C2293" s="3" t="n">
        <v>46009</v>
      </c>
      <c r="D2293" s="3" t="n">
        <v>46069</v>
      </c>
      <c r="E2293" s="4" t="n">
        <v>1128.93</v>
      </c>
      <c r="F2293">
        <f>Summary!$B$3-D2293</f>
        <v/>
      </c>
      <c r="G2293">
        <f>IF(D2293&gt;Summary!$B$3,"Current",IF(F2293&lt;=30,"0-30",IF(F2293&lt;=60,"31-60",IF(F2293&lt;=90,"61-90","90+"))))</f>
        <v/>
      </c>
    </row>
    <row r="2294">
      <c r="A2294" t="inlineStr">
        <is>
          <t>0009029564</t>
        </is>
      </c>
      <c r="B2294" t="inlineStr">
        <is>
          <t>0000100344</t>
        </is>
      </c>
      <c r="C2294" s="3" t="n">
        <v>46013</v>
      </c>
      <c r="D2294" s="3" t="n">
        <v>46043</v>
      </c>
      <c r="E2294" s="4" t="n">
        <v>6269.31</v>
      </c>
      <c r="F2294">
        <f>Summary!$B$3-D2294</f>
        <v/>
      </c>
      <c r="G2294">
        <f>IF(D2294&gt;Summary!$B$3,"Current",IF(F2294&lt;=30,"0-30",IF(F2294&lt;=60,"31-60",IF(F2294&lt;=90,"61-90","90+"))))</f>
        <v/>
      </c>
    </row>
    <row r="2295">
      <c r="A2295" t="inlineStr">
        <is>
          <t>0009029565</t>
        </is>
      </c>
      <c r="B2295" t="inlineStr">
        <is>
          <t>0000100073</t>
        </is>
      </c>
      <c r="C2295" s="3" t="n">
        <v>46018</v>
      </c>
      <c r="D2295" s="3" t="n">
        <v>46063</v>
      </c>
      <c r="E2295" s="4" t="n">
        <v>2852.65</v>
      </c>
      <c r="F2295">
        <f>Summary!$B$3-D2295</f>
        <v/>
      </c>
      <c r="G2295">
        <f>IF(D2295&gt;Summary!$B$3,"Current",IF(F2295&lt;=30,"0-30",IF(F2295&lt;=60,"31-60",IF(F2295&lt;=90,"61-90","90+"))))</f>
        <v/>
      </c>
    </row>
    <row r="2296">
      <c r="A2296" t="inlineStr">
        <is>
          <t>0009029566</t>
        </is>
      </c>
      <c r="B2296" t="inlineStr">
        <is>
          <t>0000100369</t>
        </is>
      </c>
      <c r="C2296" s="3" t="n">
        <v>46016</v>
      </c>
      <c r="D2296" s="3" t="n">
        <v>46046</v>
      </c>
      <c r="E2296" s="4" t="n">
        <v>2369.82</v>
      </c>
      <c r="F2296">
        <f>Summary!$B$3-D2296</f>
        <v/>
      </c>
      <c r="G2296">
        <f>IF(D2296&gt;Summary!$B$3,"Current",IF(F2296&lt;=30,"0-30",IF(F2296&lt;=60,"31-60",IF(F2296&lt;=90,"61-90","90+"))))</f>
        <v/>
      </c>
    </row>
    <row r="2297">
      <c r="A2297" t="inlineStr">
        <is>
          <t>0009029567</t>
        </is>
      </c>
      <c r="B2297" t="inlineStr">
        <is>
          <t>0000100366</t>
        </is>
      </c>
      <c r="C2297" s="3" t="n">
        <v>46020</v>
      </c>
      <c r="D2297" s="3" t="n">
        <v>46080</v>
      </c>
      <c r="E2297" s="4" t="n">
        <v>505.04</v>
      </c>
      <c r="F2297">
        <f>Summary!$B$3-D2297</f>
        <v/>
      </c>
      <c r="G2297">
        <f>IF(D2297&gt;Summary!$B$3,"Current",IF(F2297&lt;=30,"0-30",IF(F2297&lt;=60,"31-60",IF(F2297&lt;=90,"61-90","90+"))))</f>
        <v/>
      </c>
    </row>
    <row r="2298">
      <c r="A2298" t="inlineStr">
        <is>
          <t>0009029568</t>
        </is>
      </c>
      <c r="B2298" t="inlineStr">
        <is>
          <t>0000100490</t>
        </is>
      </c>
      <c r="C2298" s="3" t="n">
        <v>46020</v>
      </c>
      <c r="D2298" s="3" t="n">
        <v>46050</v>
      </c>
      <c r="E2298" s="4" t="n">
        <v>1449.69</v>
      </c>
      <c r="F2298">
        <f>Summary!$B$3-D2298</f>
        <v/>
      </c>
      <c r="G2298">
        <f>IF(D2298&gt;Summary!$B$3,"Current",IF(F2298&lt;=30,"0-30",IF(F2298&lt;=60,"31-60",IF(F2298&lt;=90,"61-90","90+"))))</f>
        <v/>
      </c>
    </row>
    <row r="2299">
      <c r="A2299" t="inlineStr">
        <is>
          <t>0009029569</t>
        </is>
      </c>
      <c r="B2299" t="inlineStr">
        <is>
          <t>0000100383</t>
        </is>
      </c>
      <c r="C2299" s="3" t="n">
        <v>46015</v>
      </c>
      <c r="D2299" s="3" t="n">
        <v>46045</v>
      </c>
      <c r="E2299" s="4" t="n">
        <v>2327.89</v>
      </c>
      <c r="F2299">
        <f>Summary!$B$3-D2299</f>
        <v/>
      </c>
      <c r="G2299">
        <f>IF(D2299&gt;Summary!$B$3,"Current",IF(F2299&lt;=30,"0-30",IF(F2299&lt;=60,"31-60",IF(F2299&lt;=90,"61-90","90+"))))</f>
        <v/>
      </c>
    </row>
    <row r="2300">
      <c r="A2300" t="inlineStr">
        <is>
          <t>0009029570</t>
        </is>
      </c>
      <c r="B2300" t="inlineStr">
        <is>
          <t>0000100593</t>
        </is>
      </c>
      <c r="C2300" s="3" t="n">
        <v>46018</v>
      </c>
      <c r="D2300" s="3" t="n">
        <v>46078</v>
      </c>
      <c r="E2300" s="4" t="n">
        <v>4066.53</v>
      </c>
      <c r="F2300">
        <f>Summary!$B$3-D2300</f>
        <v/>
      </c>
      <c r="G2300">
        <f>IF(D2300&gt;Summary!$B$3,"Current",IF(F2300&lt;=30,"0-30",IF(F2300&lt;=60,"31-60",IF(F2300&lt;=90,"61-90","90+"))))</f>
        <v/>
      </c>
    </row>
    <row r="2301">
      <c r="A2301" t="inlineStr">
        <is>
          <t>0009029571</t>
        </is>
      </c>
      <c r="B2301" t="inlineStr">
        <is>
          <t>0000100384</t>
        </is>
      </c>
      <c r="C2301" s="3" t="n">
        <v>46014</v>
      </c>
      <c r="D2301" s="3" t="n">
        <v>46044</v>
      </c>
      <c r="E2301" s="4" t="n">
        <v>50.22</v>
      </c>
      <c r="F2301">
        <f>Summary!$B$3-D2301</f>
        <v/>
      </c>
      <c r="G2301">
        <f>IF(D2301&gt;Summary!$B$3,"Current",IF(F2301&lt;=30,"0-30",IF(F2301&lt;=60,"31-60",IF(F2301&lt;=90,"61-90","90+"))))</f>
        <v/>
      </c>
    </row>
    <row r="2302">
      <c r="A2302" t="inlineStr">
        <is>
          <t>0009029572</t>
        </is>
      </c>
      <c r="B2302" t="inlineStr">
        <is>
          <t>0000100447</t>
        </is>
      </c>
      <c r="C2302" s="3" t="n">
        <v>46013</v>
      </c>
      <c r="D2302" s="3" t="n">
        <v>46058</v>
      </c>
      <c r="E2302" s="4" t="n">
        <v>1475.76</v>
      </c>
      <c r="F2302">
        <f>Summary!$B$3-D2302</f>
        <v/>
      </c>
      <c r="G2302">
        <f>IF(D2302&gt;Summary!$B$3,"Current",IF(F2302&lt;=30,"0-30",IF(F2302&lt;=60,"31-60",IF(F2302&lt;=90,"61-90","90+"))))</f>
        <v/>
      </c>
    </row>
    <row r="2303">
      <c r="A2303" t="inlineStr">
        <is>
          <t>0009029573</t>
        </is>
      </c>
      <c r="B2303" t="inlineStr">
        <is>
          <t>0000100258</t>
        </is>
      </c>
      <c r="C2303" s="3" t="n">
        <v>46015</v>
      </c>
      <c r="D2303" s="3" t="n">
        <v>46045</v>
      </c>
      <c r="E2303" s="4" t="n">
        <v>588.74</v>
      </c>
      <c r="F2303">
        <f>Summary!$B$3-D2303</f>
        <v/>
      </c>
      <c r="G2303">
        <f>IF(D2303&gt;Summary!$B$3,"Current",IF(F2303&lt;=30,"0-30",IF(F2303&lt;=60,"31-60",IF(F2303&lt;=90,"61-90","90+"))))</f>
        <v/>
      </c>
    </row>
    <row r="2304">
      <c r="A2304" t="inlineStr">
        <is>
          <t>0009029574</t>
        </is>
      </c>
      <c r="B2304" t="inlineStr">
        <is>
          <t>0000100345</t>
        </is>
      </c>
      <c r="C2304" s="3" t="n">
        <v>46019</v>
      </c>
      <c r="D2304" s="3" t="n">
        <v>46049</v>
      </c>
      <c r="E2304" s="4" t="n">
        <v>336.3</v>
      </c>
      <c r="F2304">
        <f>Summary!$B$3-D2304</f>
        <v/>
      </c>
      <c r="G2304">
        <f>IF(D2304&gt;Summary!$B$3,"Current",IF(F2304&lt;=30,"0-30",IF(F2304&lt;=60,"31-60",IF(F2304&lt;=90,"61-90","90+"))))</f>
        <v/>
      </c>
    </row>
    <row r="2305">
      <c r="A2305" t="inlineStr">
        <is>
          <t>0009029575</t>
        </is>
      </c>
      <c r="B2305" t="inlineStr">
        <is>
          <t>0000100254</t>
        </is>
      </c>
      <c r="C2305" s="3" t="n">
        <v>46017</v>
      </c>
      <c r="D2305" s="3" t="n">
        <v>46047</v>
      </c>
      <c r="E2305" s="4" t="n">
        <v>302.9</v>
      </c>
      <c r="F2305">
        <f>Summary!$B$3-D2305</f>
        <v/>
      </c>
      <c r="G2305">
        <f>IF(D2305&gt;Summary!$B$3,"Current",IF(F2305&lt;=30,"0-30",IF(F2305&lt;=60,"31-60",IF(F2305&lt;=90,"61-90","90+"))))</f>
        <v/>
      </c>
    </row>
    <row r="2306">
      <c r="A2306" t="inlineStr">
        <is>
          <t>0009029576</t>
        </is>
      </c>
      <c r="B2306" t="inlineStr">
        <is>
          <t>0000100315</t>
        </is>
      </c>
      <c r="C2306" s="3" t="n">
        <v>46018</v>
      </c>
      <c r="D2306" s="3" t="n">
        <v>46078</v>
      </c>
      <c r="E2306" s="4" t="n">
        <v>874.67</v>
      </c>
      <c r="F2306">
        <f>Summary!$B$3-D2306</f>
        <v/>
      </c>
      <c r="G2306">
        <f>IF(D2306&gt;Summary!$B$3,"Current",IF(F2306&lt;=30,"0-30",IF(F2306&lt;=60,"31-60",IF(F2306&lt;=90,"61-90","90+"))))</f>
        <v/>
      </c>
    </row>
    <row r="2307">
      <c r="A2307" t="inlineStr">
        <is>
          <t>0009029577</t>
        </is>
      </c>
      <c r="B2307" t="inlineStr">
        <is>
          <t>0000100019</t>
        </is>
      </c>
      <c r="C2307" s="3" t="n">
        <v>46017</v>
      </c>
      <c r="D2307" s="3" t="n">
        <v>46047</v>
      </c>
      <c r="E2307" s="4" t="n">
        <v>735.5700000000001</v>
      </c>
      <c r="F2307">
        <f>Summary!$B$3-D2307</f>
        <v/>
      </c>
      <c r="G2307">
        <f>IF(D2307&gt;Summary!$B$3,"Current",IF(F2307&lt;=30,"0-30",IF(F2307&lt;=60,"31-60",IF(F2307&lt;=90,"61-90","90+"))))</f>
        <v/>
      </c>
    </row>
    <row r="2308">
      <c r="A2308" t="inlineStr">
        <is>
          <t>0009029578</t>
        </is>
      </c>
      <c r="B2308" t="inlineStr">
        <is>
          <t>0000100260</t>
        </is>
      </c>
      <c r="C2308" s="3" t="n">
        <v>46017</v>
      </c>
      <c r="D2308" s="3" t="n">
        <v>46062</v>
      </c>
      <c r="E2308" s="4" t="n">
        <v>125.78</v>
      </c>
      <c r="F2308">
        <f>Summary!$B$3-D2308</f>
        <v/>
      </c>
      <c r="G2308">
        <f>IF(D2308&gt;Summary!$B$3,"Current",IF(F2308&lt;=30,"0-30",IF(F2308&lt;=60,"31-60",IF(F2308&lt;=90,"61-90","90+"))))</f>
        <v/>
      </c>
    </row>
    <row r="2309">
      <c r="A2309" t="inlineStr">
        <is>
          <t>0009029579</t>
        </is>
      </c>
      <c r="B2309" t="inlineStr">
        <is>
          <t>0000100023</t>
        </is>
      </c>
      <c r="C2309" s="3" t="n">
        <v>46016</v>
      </c>
      <c r="D2309" s="3" t="n">
        <v>46046</v>
      </c>
      <c r="E2309" s="4" t="n">
        <v>835.2</v>
      </c>
      <c r="F2309">
        <f>Summary!$B$3-D2309</f>
        <v/>
      </c>
      <c r="G2309">
        <f>IF(D2309&gt;Summary!$B$3,"Current",IF(F2309&lt;=30,"0-30",IF(F2309&lt;=60,"31-60",IF(F2309&lt;=90,"61-90","90+"))))</f>
        <v/>
      </c>
    </row>
    <row r="2310">
      <c r="A2310" t="inlineStr">
        <is>
          <t>0009029580</t>
        </is>
      </c>
      <c r="B2310" t="inlineStr">
        <is>
          <t>0000100383</t>
        </is>
      </c>
      <c r="C2310" s="3" t="n">
        <v>46015</v>
      </c>
      <c r="D2310" s="3" t="n">
        <v>46045</v>
      </c>
      <c r="E2310" s="4" t="n">
        <v>428.68</v>
      </c>
      <c r="F2310">
        <f>Summary!$B$3-D2310</f>
        <v/>
      </c>
      <c r="G2310">
        <f>IF(D2310&gt;Summary!$B$3,"Current",IF(F2310&lt;=30,"0-30",IF(F2310&lt;=60,"31-60",IF(F2310&lt;=90,"61-90","90+"))))</f>
        <v/>
      </c>
    </row>
    <row r="2311">
      <c r="A2311" t="inlineStr">
        <is>
          <t>0009029581</t>
        </is>
      </c>
      <c r="B2311" t="inlineStr">
        <is>
          <t>0000100469</t>
        </is>
      </c>
      <c r="C2311" s="3" t="n">
        <v>46022</v>
      </c>
      <c r="D2311" s="3" t="n">
        <v>46052</v>
      </c>
      <c r="E2311" s="4" t="n">
        <v>1542.29</v>
      </c>
      <c r="F2311">
        <f>Summary!$B$3-D2311</f>
        <v/>
      </c>
      <c r="G2311">
        <f>IF(D2311&gt;Summary!$B$3,"Current",IF(F2311&lt;=30,"0-30",IF(F2311&lt;=60,"31-60",IF(F2311&lt;=90,"61-90","90+"))))</f>
        <v/>
      </c>
    </row>
    <row r="2312">
      <c r="A2312" t="inlineStr">
        <is>
          <t>0009029582</t>
        </is>
      </c>
      <c r="B2312" t="inlineStr">
        <is>
          <t>0000100261</t>
        </is>
      </c>
      <c r="C2312" s="3" t="n">
        <v>46015</v>
      </c>
      <c r="D2312" s="3" t="n">
        <v>46060</v>
      </c>
      <c r="E2312" s="4" t="n">
        <v>282.3</v>
      </c>
      <c r="F2312">
        <f>Summary!$B$3-D2312</f>
        <v/>
      </c>
      <c r="G2312">
        <f>IF(D2312&gt;Summary!$B$3,"Current",IF(F2312&lt;=30,"0-30",IF(F2312&lt;=60,"31-60",IF(F2312&lt;=90,"61-90","90+"))))</f>
        <v/>
      </c>
    </row>
    <row r="2313">
      <c r="A2313" t="inlineStr">
        <is>
          <t>0009029583</t>
        </is>
      </c>
      <c r="B2313" t="inlineStr">
        <is>
          <t>0000100258</t>
        </is>
      </c>
      <c r="C2313" s="3" t="n">
        <v>46015</v>
      </c>
      <c r="D2313" s="3" t="n">
        <v>46045</v>
      </c>
      <c r="E2313" s="4" t="n">
        <v>150.71</v>
      </c>
      <c r="F2313">
        <f>Summary!$B$3-D2313</f>
        <v/>
      </c>
      <c r="G2313">
        <f>IF(D2313&gt;Summary!$B$3,"Current",IF(F2313&lt;=30,"0-30",IF(F2313&lt;=60,"31-60",IF(F2313&lt;=90,"61-90","90+"))))</f>
        <v/>
      </c>
    </row>
    <row r="2314">
      <c r="A2314" t="inlineStr">
        <is>
          <t>0009029584</t>
        </is>
      </c>
      <c r="B2314" t="inlineStr">
        <is>
          <t>0000100007</t>
        </is>
      </c>
      <c r="C2314" s="3" t="n">
        <v>46019</v>
      </c>
      <c r="D2314" s="3" t="n">
        <v>46049</v>
      </c>
      <c r="E2314" s="4" t="n">
        <v>663.23</v>
      </c>
      <c r="F2314">
        <f>Summary!$B$3-D2314</f>
        <v/>
      </c>
      <c r="G2314">
        <f>IF(D2314&gt;Summary!$B$3,"Current",IF(F2314&lt;=30,"0-30",IF(F2314&lt;=60,"31-60",IF(F2314&lt;=90,"61-90","90+"))))</f>
        <v/>
      </c>
    </row>
    <row r="2315">
      <c r="A2315" t="inlineStr">
        <is>
          <t>0009029585</t>
        </is>
      </c>
      <c r="B2315" t="inlineStr">
        <is>
          <t>0000100001</t>
        </is>
      </c>
      <c r="C2315" s="3" t="n">
        <v>46014</v>
      </c>
      <c r="D2315" s="3" t="n">
        <v>46059</v>
      </c>
      <c r="E2315" s="4" t="n">
        <v>311.04</v>
      </c>
      <c r="F2315">
        <f>Summary!$B$3-D2315</f>
        <v/>
      </c>
      <c r="G2315">
        <f>IF(D2315&gt;Summary!$B$3,"Current",IF(F2315&lt;=30,"0-30",IF(F2315&lt;=60,"31-60",IF(F2315&lt;=90,"61-90","90+"))))</f>
        <v/>
      </c>
    </row>
    <row r="2316">
      <c r="A2316" t="inlineStr">
        <is>
          <t>0009029586</t>
        </is>
      </c>
      <c r="B2316" t="inlineStr">
        <is>
          <t>0000100227</t>
        </is>
      </c>
      <c r="C2316" s="3" t="n">
        <v>46022</v>
      </c>
      <c r="D2316" s="3" t="n">
        <v>46052</v>
      </c>
      <c r="E2316" s="4" t="n">
        <v>1525.1</v>
      </c>
      <c r="F2316">
        <f>Summary!$B$3-D2316</f>
        <v/>
      </c>
      <c r="G2316">
        <f>IF(D2316&gt;Summary!$B$3,"Current",IF(F2316&lt;=30,"0-30",IF(F2316&lt;=60,"31-60",IF(F2316&lt;=90,"61-90","90+"))))</f>
        <v/>
      </c>
    </row>
    <row r="2317">
      <c r="A2317" t="inlineStr">
        <is>
          <t>0009029587</t>
        </is>
      </c>
      <c r="B2317" t="inlineStr">
        <is>
          <t>0000100504</t>
        </is>
      </c>
      <c r="C2317" s="3" t="n">
        <v>46018</v>
      </c>
      <c r="D2317" s="3" t="n">
        <v>46048</v>
      </c>
      <c r="E2317" s="4" t="n">
        <v>55.35</v>
      </c>
      <c r="F2317">
        <f>Summary!$B$3-D2317</f>
        <v/>
      </c>
      <c r="G2317">
        <f>IF(D2317&gt;Summary!$B$3,"Current",IF(F2317&lt;=30,"0-30",IF(F2317&lt;=60,"31-60",IF(F2317&lt;=90,"61-90","90+"))))</f>
        <v/>
      </c>
    </row>
    <row r="2318">
      <c r="A2318" t="inlineStr">
        <is>
          <t>0009029588</t>
        </is>
      </c>
      <c r="B2318" t="inlineStr">
        <is>
          <t>0000100582</t>
        </is>
      </c>
      <c r="C2318" s="3" t="n">
        <v>46017</v>
      </c>
      <c r="D2318" s="3" t="n">
        <v>46047</v>
      </c>
      <c r="E2318" s="4" t="n">
        <v>1061.84</v>
      </c>
      <c r="F2318">
        <f>Summary!$B$3-D2318</f>
        <v/>
      </c>
      <c r="G2318">
        <f>IF(D2318&gt;Summary!$B$3,"Current",IF(F2318&lt;=30,"0-30",IF(F2318&lt;=60,"31-60",IF(F2318&lt;=90,"61-90","90+"))))</f>
        <v/>
      </c>
    </row>
    <row r="2319">
      <c r="A2319" t="inlineStr">
        <is>
          <t>0009029589</t>
        </is>
      </c>
      <c r="B2319" t="inlineStr">
        <is>
          <t>0000100344</t>
        </is>
      </c>
      <c r="C2319" s="3" t="n">
        <v>46015</v>
      </c>
      <c r="D2319" s="3" t="n">
        <v>46045</v>
      </c>
      <c r="E2319" s="4" t="n">
        <v>2532.15</v>
      </c>
      <c r="F2319">
        <f>Summary!$B$3-D2319</f>
        <v/>
      </c>
      <c r="G2319">
        <f>IF(D2319&gt;Summary!$B$3,"Current",IF(F2319&lt;=30,"0-30",IF(F2319&lt;=60,"31-60",IF(F2319&lt;=90,"61-90","90+"))))</f>
        <v/>
      </c>
    </row>
    <row r="2320">
      <c r="A2320" t="inlineStr">
        <is>
          <t>0009029590</t>
        </is>
      </c>
      <c r="B2320" t="inlineStr">
        <is>
          <t>0000100019</t>
        </is>
      </c>
      <c r="C2320" s="3" t="n">
        <v>46014</v>
      </c>
      <c r="D2320" s="3" t="n">
        <v>46044</v>
      </c>
      <c r="E2320" s="4" t="n">
        <v>333.24</v>
      </c>
      <c r="F2320">
        <f>Summary!$B$3-D2320</f>
        <v/>
      </c>
      <c r="G2320">
        <f>IF(D2320&gt;Summary!$B$3,"Current",IF(F2320&lt;=30,"0-30",IF(F2320&lt;=60,"31-60",IF(F2320&lt;=90,"61-90","90+"))))</f>
        <v/>
      </c>
    </row>
    <row r="2321">
      <c r="A2321" t="inlineStr">
        <is>
          <t>0009029591</t>
        </is>
      </c>
      <c r="B2321" t="inlineStr">
        <is>
          <t>0000100424</t>
        </is>
      </c>
      <c r="C2321" s="3" t="n">
        <v>46021</v>
      </c>
      <c r="D2321" s="3" t="n">
        <v>46066</v>
      </c>
      <c r="E2321" s="4" t="n">
        <v>581.52</v>
      </c>
      <c r="F2321">
        <f>Summary!$B$3-D2321</f>
        <v/>
      </c>
      <c r="G2321">
        <f>IF(D2321&gt;Summary!$B$3,"Current",IF(F2321&lt;=30,"0-30",IF(F2321&lt;=60,"31-60",IF(F2321&lt;=90,"61-90","90+"))))</f>
        <v/>
      </c>
    </row>
    <row r="2322">
      <c r="A2322" t="inlineStr">
        <is>
          <t>0009029592</t>
        </is>
      </c>
      <c r="B2322" t="inlineStr">
        <is>
          <t>0000100227</t>
        </is>
      </c>
      <c r="C2322" s="3" t="n">
        <v>46014</v>
      </c>
      <c r="D2322" s="3" t="n">
        <v>46044</v>
      </c>
      <c r="E2322" s="4" t="n">
        <v>3107.05</v>
      </c>
      <c r="F2322">
        <f>Summary!$B$3-D2322</f>
        <v/>
      </c>
      <c r="G2322">
        <f>IF(D2322&gt;Summary!$B$3,"Current",IF(F2322&lt;=30,"0-30",IF(F2322&lt;=60,"31-60",IF(F2322&lt;=90,"61-90","90+"))))</f>
        <v/>
      </c>
    </row>
    <row r="2323">
      <c r="A2323" t="inlineStr">
        <is>
          <t>0009029593</t>
        </is>
      </c>
      <c r="B2323" t="inlineStr">
        <is>
          <t>0000100348</t>
        </is>
      </c>
      <c r="C2323" s="3" t="n">
        <v>46013</v>
      </c>
      <c r="D2323" s="3" t="n">
        <v>46073</v>
      </c>
      <c r="E2323" s="4" t="n">
        <v>492.17</v>
      </c>
      <c r="F2323">
        <f>Summary!$B$3-D2323</f>
        <v/>
      </c>
      <c r="G2323">
        <f>IF(D2323&gt;Summary!$B$3,"Current",IF(F2323&lt;=30,"0-30",IF(F2323&lt;=60,"31-60",IF(F2323&lt;=90,"61-90","90+"))))</f>
        <v/>
      </c>
    </row>
    <row r="2324">
      <c r="A2324" t="inlineStr">
        <is>
          <t>0009029594</t>
        </is>
      </c>
      <c r="B2324" t="inlineStr">
        <is>
          <t>0000100593</t>
        </is>
      </c>
      <c r="C2324" s="3" t="n">
        <v>46014</v>
      </c>
      <c r="D2324" s="3" t="n">
        <v>46074</v>
      </c>
      <c r="E2324" s="4" t="n">
        <v>360.57</v>
      </c>
      <c r="F2324">
        <f>Summary!$B$3-D2324</f>
        <v/>
      </c>
      <c r="G2324">
        <f>IF(D2324&gt;Summary!$B$3,"Current",IF(F2324&lt;=30,"0-30",IF(F2324&lt;=60,"31-60",IF(F2324&lt;=90,"61-90","90+"))))</f>
        <v/>
      </c>
    </row>
    <row r="2325">
      <c r="A2325" t="inlineStr">
        <is>
          <t>0009029595</t>
        </is>
      </c>
      <c r="B2325" t="inlineStr">
        <is>
          <t>0000100416</t>
        </is>
      </c>
      <c r="C2325" s="3" t="n">
        <v>46012</v>
      </c>
      <c r="D2325" s="3" t="n">
        <v>46057</v>
      </c>
      <c r="E2325" s="4" t="n">
        <v>326.17</v>
      </c>
      <c r="F2325">
        <f>Summary!$B$3-D2325</f>
        <v/>
      </c>
      <c r="G2325">
        <f>IF(D2325&gt;Summary!$B$3,"Current",IF(F2325&lt;=30,"0-30",IF(F2325&lt;=60,"31-60",IF(F2325&lt;=90,"61-90","90+"))))</f>
        <v/>
      </c>
    </row>
    <row r="2326">
      <c r="A2326" t="inlineStr">
        <is>
          <t>0009029596</t>
        </is>
      </c>
      <c r="B2326" t="inlineStr">
        <is>
          <t>0000100393</t>
        </is>
      </c>
      <c r="C2326" s="3" t="n">
        <v>46015</v>
      </c>
      <c r="D2326" s="3" t="n">
        <v>46045</v>
      </c>
      <c r="E2326" s="4" t="n">
        <v>564.76</v>
      </c>
      <c r="F2326">
        <f>Summary!$B$3-D2326</f>
        <v/>
      </c>
      <c r="G2326">
        <f>IF(D2326&gt;Summary!$B$3,"Current",IF(F2326&lt;=30,"0-30",IF(F2326&lt;=60,"31-60",IF(F2326&lt;=90,"61-90","90+"))))</f>
        <v/>
      </c>
    </row>
    <row r="2327">
      <c r="A2327" t="inlineStr">
        <is>
          <t>0009029597</t>
        </is>
      </c>
      <c r="B2327" t="inlineStr">
        <is>
          <t>0000100594</t>
        </is>
      </c>
      <c r="C2327" s="3" t="n">
        <v>46020</v>
      </c>
      <c r="D2327" s="3" t="n">
        <v>46080</v>
      </c>
      <c r="E2327" s="4" t="n">
        <v>2098</v>
      </c>
      <c r="F2327">
        <f>Summary!$B$3-D2327</f>
        <v/>
      </c>
      <c r="G2327">
        <f>IF(D2327&gt;Summary!$B$3,"Current",IF(F2327&lt;=30,"0-30",IF(F2327&lt;=60,"31-60",IF(F2327&lt;=90,"61-90","90+"))))</f>
        <v/>
      </c>
    </row>
    <row r="2328">
      <c r="A2328" t="inlineStr">
        <is>
          <t>0009029598</t>
        </is>
      </c>
      <c r="B2328" t="inlineStr">
        <is>
          <t>0000100416</t>
        </is>
      </c>
      <c r="C2328" s="3" t="n">
        <v>46016</v>
      </c>
      <c r="D2328" s="3" t="n">
        <v>46061</v>
      </c>
      <c r="E2328" s="4" t="n">
        <v>1601.37</v>
      </c>
      <c r="F2328">
        <f>Summary!$B$3-D2328</f>
        <v/>
      </c>
      <c r="G2328">
        <f>IF(D2328&gt;Summary!$B$3,"Current",IF(F2328&lt;=30,"0-30",IF(F2328&lt;=60,"31-60",IF(F2328&lt;=90,"61-90","90+"))))</f>
        <v/>
      </c>
    </row>
    <row r="2329">
      <c r="A2329" t="inlineStr">
        <is>
          <t>0009029600</t>
        </is>
      </c>
      <c r="B2329" t="inlineStr">
        <is>
          <t>0000100416</t>
        </is>
      </c>
      <c r="C2329" s="3" t="n">
        <v>46011</v>
      </c>
      <c r="D2329" s="3" t="n">
        <v>46056</v>
      </c>
      <c r="E2329" s="4" t="n">
        <v>455.72</v>
      </c>
      <c r="F2329">
        <f>Summary!$B$3-D2329</f>
        <v/>
      </c>
      <c r="G2329">
        <f>IF(D2329&gt;Summary!$B$3,"Current",IF(F2329&lt;=30,"0-30",IF(F2329&lt;=60,"31-60",IF(F2329&lt;=90,"61-90","90+"))))</f>
        <v/>
      </c>
    </row>
    <row r="2330">
      <c r="A2330" t="inlineStr">
        <is>
          <t>0009029601</t>
        </is>
      </c>
      <c r="B2330" t="inlineStr">
        <is>
          <t>0000100122</t>
        </is>
      </c>
      <c r="C2330" s="3" t="n">
        <v>46016</v>
      </c>
      <c r="D2330" s="3" t="n">
        <v>46046</v>
      </c>
      <c r="E2330" s="4" t="n">
        <v>4423.16</v>
      </c>
      <c r="F2330">
        <f>Summary!$B$3-D2330</f>
        <v/>
      </c>
      <c r="G2330">
        <f>IF(D2330&gt;Summary!$B$3,"Current",IF(F2330&lt;=30,"0-30",IF(F2330&lt;=60,"31-60",IF(F2330&lt;=90,"61-90","90+"))))</f>
        <v/>
      </c>
    </row>
    <row r="2331">
      <c r="A2331" t="inlineStr">
        <is>
          <t>0009029603</t>
        </is>
      </c>
      <c r="B2331" t="inlineStr">
        <is>
          <t>0000100557</t>
        </is>
      </c>
      <c r="C2331" s="3" t="n">
        <v>46019</v>
      </c>
      <c r="D2331" s="3" t="n">
        <v>46049</v>
      </c>
      <c r="E2331" s="4" t="n">
        <v>396.91</v>
      </c>
      <c r="F2331">
        <f>Summary!$B$3-D2331</f>
        <v/>
      </c>
      <c r="G2331">
        <f>IF(D2331&gt;Summary!$B$3,"Current",IF(F2331&lt;=30,"0-30",IF(F2331&lt;=60,"31-60",IF(F2331&lt;=90,"61-90","90+"))))</f>
        <v/>
      </c>
    </row>
    <row r="2332">
      <c r="A2332" t="inlineStr">
        <is>
          <t>0009029604</t>
        </is>
      </c>
      <c r="B2332" t="inlineStr">
        <is>
          <t>0000100586</t>
        </is>
      </c>
      <c r="C2332" s="3" t="n">
        <v>46012</v>
      </c>
      <c r="D2332" s="3" t="n">
        <v>46042</v>
      </c>
      <c r="E2332" s="4" t="n">
        <v>1060.83</v>
      </c>
      <c r="F2332">
        <f>Summary!$B$3-D2332</f>
        <v/>
      </c>
      <c r="G2332">
        <f>IF(D2332&gt;Summary!$B$3,"Current",IF(F2332&lt;=30,"0-30",IF(F2332&lt;=60,"31-60",IF(F2332&lt;=90,"61-90","90+"))))</f>
        <v/>
      </c>
    </row>
    <row r="2333">
      <c r="A2333" t="inlineStr">
        <is>
          <t>0009029606</t>
        </is>
      </c>
      <c r="B2333" t="inlineStr">
        <is>
          <t>0000100210</t>
        </is>
      </c>
      <c r="C2333" s="3" t="n">
        <v>46014</v>
      </c>
      <c r="D2333" s="3" t="n">
        <v>46044</v>
      </c>
      <c r="E2333" s="4" t="n">
        <v>249.7</v>
      </c>
      <c r="F2333">
        <f>Summary!$B$3-D2333</f>
        <v/>
      </c>
      <c r="G2333">
        <f>IF(D2333&gt;Summary!$B$3,"Current",IF(F2333&lt;=30,"0-30",IF(F2333&lt;=60,"31-60",IF(F2333&lt;=90,"61-90","90+"))))</f>
        <v/>
      </c>
    </row>
    <row r="2334">
      <c r="A2334" t="inlineStr">
        <is>
          <t>0009029607</t>
        </is>
      </c>
      <c r="B2334" t="inlineStr">
        <is>
          <t>0000100409</t>
        </is>
      </c>
      <c r="C2334" s="3" t="n">
        <v>46017</v>
      </c>
      <c r="D2334" s="3" t="n">
        <v>46047</v>
      </c>
      <c r="E2334" s="4" t="n">
        <v>276.36</v>
      </c>
      <c r="F2334">
        <f>Summary!$B$3-D2334</f>
        <v/>
      </c>
      <c r="G2334">
        <f>IF(D2334&gt;Summary!$B$3,"Current",IF(F2334&lt;=30,"0-30",IF(F2334&lt;=60,"31-60",IF(F2334&lt;=90,"61-90","90+"))))</f>
        <v/>
      </c>
    </row>
    <row r="2335">
      <c r="A2335" t="inlineStr">
        <is>
          <t>0009029608</t>
        </is>
      </c>
      <c r="B2335" t="inlineStr">
        <is>
          <t>0000100193</t>
        </is>
      </c>
      <c r="C2335" s="3" t="n">
        <v>46013</v>
      </c>
      <c r="D2335" s="3" t="n">
        <v>46043</v>
      </c>
      <c r="E2335" s="4" t="n">
        <v>893.46</v>
      </c>
      <c r="F2335">
        <f>Summary!$B$3-D2335</f>
        <v/>
      </c>
      <c r="G2335">
        <f>IF(D2335&gt;Summary!$B$3,"Current",IF(F2335&lt;=30,"0-30",IF(F2335&lt;=60,"31-60",IF(F2335&lt;=90,"61-90","90+"))))</f>
        <v/>
      </c>
    </row>
    <row r="2336">
      <c r="A2336" t="inlineStr">
        <is>
          <t>0009029609</t>
        </is>
      </c>
      <c r="B2336" t="inlineStr">
        <is>
          <t>0000100116</t>
        </is>
      </c>
      <c r="C2336" s="3" t="n">
        <v>46011</v>
      </c>
      <c r="D2336" s="3" t="n">
        <v>46056</v>
      </c>
      <c r="E2336" s="4" t="n">
        <v>900.8099999999999</v>
      </c>
      <c r="F2336">
        <f>Summary!$B$3-D2336</f>
        <v/>
      </c>
      <c r="G2336">
        <f>IF(D2336&gt;Summary!$B$3,"Current",IF(F2336&lt;=30,"0-30",IF(F2336&lt;=60,"31-60",IF(F2336&lt;=90,"61-90","90+"))))</f>
        <v/>
      </c>
    </row>
    <row r="2337">
      <c r="A2337" t="inlineStr">
        <is>
          <t>0009029610</t>
        </is>
      </c>
      <c r="B2337" t="inlineStr">
        <is>
          <t>0000100441</t>
        </is>
      </c>
      <c r="C2337" s="3" t="n">
        <v>46012</v>
      </c>
      <c r="D2337" s="3" t="n">
        <v>46057</v>
      </c>
      <c r="E2337" s="4" t="n">
        <v>2990.88</v>
      </c>
      <c r="F2337">
        <f>Summary!$B$3-D2337</f>
        <v/>
      </c>
      <c r="G2337">
        <f>IF(D2337&gt;Summary!$B$3,"Current",IF(F2337&lt;=30,"0-30",IF(F2337&lt;=60,"31-60",IF(F2337&lt;=90,"61-90","90+"))))</f>
        <v/>
      </c>
    </row>
    <row r="2338">
      <c r="A2338" t="inlineStr">
        <is>
          <t>0009029611</t>
        </is>
      </c>
      <c r="B2338" t="inlineStr">
        <is>
          <t>0000100269</t>
        </is>
      </c>
      <c r="C2338" s="3" t="n">
        <v>46018</v>
      </c>
      <c r="D2338" s="3" t="n">
        <v>46048</v>
      </c>
      <c r="E2338" s="4" t="n">
        <v>238.3</v>
      </c>
      <c r="F2338">
        <f>Summary!$B$3-D2338</f>
        <v/>
      </c>
      <c r="G2338">
        <f>IF(D2338&gt;Summary!$B$3,"Current",IF(F2338&lt;=30,"0-30",IF(F2338&lt;=60,"31-60",IF(F2338&lt;=90,"61-90","90+"))))</f>
        <v/>
      </c>
    </row>
    <row r="2339">
      <c r="A2339" t="inlineStr">
        <is>
          <t>0009029612</t>
        </is>
      </c>
      <c r="B2339" t="inlineStr">
        <is>
          <t>0000100185</t>
        </is>
      </c>
      <c r="C2339" s="3" t="n">
        <v>46014</v>
      </c>
      <c r="D2339" s="3" t="n">
        <v>46044</v>
      </c>
      <c r="E2339" s="4" t="n">
        <v>80.25</v>
      </c>
      <c r="F2339">
        <f>Summary!$B$3-D2339</f>
        <v/>
      </c>
      <c r="G2339">
        <f>IF(D2339&gt;Summary!$B$3,"Current",IF(F2339&lt;=30,"0-30",IF(F2339&lt;=60,"31-60",IF(F2339&lt;=90,"61-90","90+"))))</f>
        <v/>
      </c>
    </row>
    <row r="2340">
      <c r="A2340" t="inlineStr">
        <is>
          <t>0009029613</t>
        </is>
      </c>
      <c r="B2340" t="inlineStr">
        <is>
          <t>0000100071</t>
        </is>
      </c>
      <c r="C2340" s="3" t="n">
        <v>46019</v>
      </c>
      <c r="D2340" s="3" t="n">
        <v>46064</v>
      </c>
      <c r="E2340" s="4" t="n">
        <v>1617.32</v>
      </c>
      <c r="F2340">
        <f>Summary!$B$3-D2340</f>
        <v/>
      </c>
      <c r="G2340">
        <f>IF(D2340&gt;Summary!$B$3,"Current",IF(F2340&lt;=30,"0-30",IF(F2340&lt;=60,"31-60",IF(F2340&lt;=90,"61-90","90+"))))</f>
        <v/>
      </c>
    </row>
    <row r="2341">
      <c r="A2341" t="inlineStr">
        <is>
          <t>0009029614</t>
        </is>
      </c>
      <c r="B2341" t="inlineStr">
        <is>
          <t>0000100357</t>
        </is>
      </c>
      <c r="C2341" s="3" t="n">
        <v>46015</v>
      </c>
      <c r="D2341" s="3" t="n">
        <v>46060</v>
      </c>
      <c r="E2341" s="4" t="n">
        <v>704.85</v>
      </c>
      <c r="F2341">
        <f>Summary!$B$3-D2341</f>
        <v/>
      </c>
      <c r="G2341">
        <f>IF(D2341&gt;Summary!$B$3,"Current",IF(F2341&lt;=30,"0-30",IF(F2341&lt;=60,"31-60",IF(F2341&lt;=90,"61-90","90+"))))</f>
        <v/>
      </c>
    </row>
    <row r="2342">
      <c r="A2342" t="inlineStr">
        <is>
          <t>0009029615</t>
        </is>
      </c>
      <c r="B2342" t="inlineStr">
        <is>
          <t>0000100581</t>
        </is>
      </c>
      <c r="C2342" s="3" t="n">
        <v>46019</v>
      </c>
      <c r="D2342" s="3" t="n">
        <v>46049</v>
      </c>
      <c r="E2342" s="4" t="n">
        <v>1783.57</v>
      </c>
      <c r="F2342">
        <f>Summary!$B$3-D2342</f>
        <v/>
      </c>
      <c r="G2342">
        <f>IF(D2342&gt;Summary!$B$3,"Current",IF(F2342&lt;=30,"0-30",IF(F2342&lt;=60,"31-60",IF(F2342&lt;=90,"61-90","90+"))))</f>
        <v/>
      </c>
    </row>
    <row r="2343">
      <c r="A2343" t="inlineStr">
        <is>
          <t>0009029616</t>
        </is>
      </c>
      <c r="B2343" t="inlineStr">
        <is>
          <t>0000100300</t>
        </is>
      </c>
      <c r="C2343" s="3" t="n">
        <v>46019</v>
      </c>
      <c r="D2343" s="3" t="n">
        <v>46049</v>
      </c>
      <c r="E2343" s="4" t="n">
        <v>1047.74</v>
      </c>
      <c r="F2343">
        <f>Summary!$B$3-D2343</f>
        <v/>
      </c>
      <c r="G2343">
        <f>IF(D2343&gt;Summary!$B$3,"Current",IF(F2343&lt;=30,"0-30",IF(F2343&lt;=60,"31-60",IF(F2343&lt;=90,"61-90","90+"))))</f>
        <v/>
      </c>
    </row>
    <row r="2344">
      <c r="A2344" t="inlineStr">
        <is>
          <t>0009029617</t>
        </is>
      </c>
      <c r="B2344" t="inlineStr">
        <is>
          <t>0000100447</t>
        </is>
      </c>
      <c r="C2344" s="3" t="n">
        <v>46013</v>
      </c>
      <c r="D2344" s="3" t="n">
        <v>46058</v>
      </c>
      <c r="E2344" s="4" t="n">
        <v>396.05</v>
      </c>
      <c r="F2344">
        <f>Summary!$B$3-D2344</f>
        <v/>
      </c>
      <c r="G2344">
        <f>IF(D2344&gt;Summary!$B$3,"Current",IF(F2344&lt;=30,"0-30",IF(F2344&lt;=60,"31-60",IF(F2344&lt;=90,"61-90","90+"))))</f>
        <v/>
      </c>
    </row>
    <row r="2345">
      <c r="A2345" t="inlineStr">
        <is>
          <t>0009029618</t>
        </is>
      </c>
      <c r="B2345" t="inlineStr">
        <is>
          <t>0000100086</t>
        </is>
      </c>
      <c r="C2345" s="3" t="n">
        <v>46021</v>
      </c>
      <c r="D2345" s="3" t="n">
        <v>46051</v>
      </c>
      <c r="E2345" s="4" t="n">
        <v>1649.61</v>
      </c>
      <c r="F2345">
        <f>Summary!$B$3-D2345</f>
        <v/>
      </c>
      <c r="G2345">
        <f>IF(D2345&gt;Summary!$B$3,"Current",IF(F2345&lt;=30,"0-30",IF(F2345&lt;=60,"31-60",IF(F2345&lt;=90,"61-90","90+"))))</f>
        <v/>
      </c>
    </row>
    <row r="2346">
      <c r="A2346" t="inlineStr">
        <is>
          <t>0009029620</t>
        </is>
      </c>
      <c r="B2346" t="inlineStr">
        <is>
          <t>0000100056</t>
        </is>
      </c>
      <c r="C2346" s="3" t="n">
        <v>46015</v>
      </c>
      <c r="D2346" s="3" t="n">
        <v>46075</v>
      </c>
      <c r="E2346" s="4" t="n">
        <v>1087.86</v>
      </c>
      <c r="F2346">
        <f>Summary!$B$3-D2346</f>
        <v/>
      </c>
      <c r="G2346">
        <f>IF(D2346&gt;Summary!$B$3,"Current",IF(F2346&lt;=30,"0-30",IF(F2346&lt;=60,"31-60",IF(F2346&lt;=90,"61-90","90+"))))</f>
        <v/>
      </c>
    </row>
    <row r="2347">
      <c r="A2347" t="inlineStr">
        <is>
          <t>0009029621</t>
        </is>
      </c>
      <c r="B2347" t="inlineStr">
        <is>
          <t>0000100464</t>
        </is>
      </c>
      <c r="C2347" s="3" t="n">
        <v>46013</v>
      </c>
      <c r="D2347" s="3" t="n">
        <v>46043</v>
      </c>
      <c r="E2347" s="4" t="n">
        <v>462.01</v>
      </c>
      <c r="F2347">
        <f>Summary!$B$3-D2347</f>
        <v/>
      </c>
      <c r="G2347">
        <f>IF(D2347&gt;Summary!$B$3,"Current",IF(F2347&lt;=30,"0-30",IF(F2347&lt;=60,"31-60",IF(F2347&lt;=90,"61-90","90+"))))</f>
        <v/>
      </c>
    </row>
    <row r="2348">
      <c r="A2348" t="inlineStr">
        <is>
          <t>0009029623</t>
        </is>
      </c>
      <c r="B2348" t="inlineStr">
        <is>
          <t>0000100576</t>
        </is>
      </c>
      <c r="C2348" s="3" t="n">
        <v>46022</v>
      </c>
      <c r="D2348" s="3" t="n">
        <v>46052</v>
      </c>
      <c r="E2348" s="4" t="n">
        <v>521.5700000000001</v>
      </c>
      <c r="F2348">
        <f>Summary!$B$3-D2348</f>
        <v/>
      </c>
      <c r="G2348">
        <f>IF(D2348&gt;Summary!$B$3,"Current",IF(F2348&lt;=30,"0-30",IF(F2348&lt;=60,"31-60",IF(F2348&lt;=90,"61-90","90+"))))</f>
        <v/>
      </c>
    </row>
    <row r="2349">
      <c r="A2349" t="inlineStr">
        <is>
          <t>0009029624</t>
        </is>
      </c>
      <c r="B2349" t="inlineStr">
        <is>
          <t>0000100345</t>
        </is>
      </c>
      <c r="C2349" s="3" t="n">
        <v>46017</v>
      </c>
      <c r="D2349" s="3" t="n">
        <v>46047</v>
      </c>
      <c r="E2349" s="4" t="n">
        <v>564.16</v>
      </c>
      <c r="F2349">
        <f>Summary!$B$3-D2349</f>
        <v/>
      </c>
      <c r="G2349">
        <f>IF(D2349&gt;Summary!$B$3,"Current",IF(F2349&lt;=30,"0-30",IF(F2349&lt;=60,"31-60",IF(F2349&lt;=90,"61-90","90+"))))</f>
        <v/>
      </c>
    </row>
    <row r="2350">
      <c r="A2350" t="inlineStr">
        <is>
          <t>0009029625</t>
        </is>
      </c>
      <c r="B2350" t="inlineStr">
        <is>
          <t>0000100490</t>
        </is>
      </c>
      <c r="C2350" s="3" t="n">
        <v>46017</v>
      </c>
      <c r="D2350" s="3" t="n">
        <v>46047</v>
      </c>
      <c r="E2350" s="4" t="n">
        <v>565.42</v>
      </c>
      <c r="F2350">
        <f>Summary!$B$3-D2350</f>
        <v/>
      </c>
      <c r="G2350">
        <f>IF(D2350&gt;Summary!$B$3,"Current",IF(F2350&lt;=30,"0-30",IF(F2350&lt;=60,"31-60",IF(F2350&lt;=90,"61-90","90+"))))</f>
        <v/>
      </c>
    </row>
    <row r="2351">
      <c r="A2351" t="inlineStr">
        <is>
          <t>0009029626</t>
        </is>
      </c>
      <c r="B2351" t="inlineStr">
        <is>
          <t>0000100000</t>
        </is>
      </c>
      <c r="C2351" s="3" t="n">
        <v>46012</v>
      </c>
      <c r="D2351" s="3" t="n">
        <v>46042</v>
      </c>
      <c r="E2351" s="4" t="n">
        <v>444.48</v>
      </c>
      <c r="F2351">
        <f>Summary!$B$3-D2351</f>
        <v/>
      </c>
      <c r="G2351">
        <f>IF(D2351&gt;Summary!$B$3,"Current",IF(F2351&lt;=30,"0-30",IF(F2351&lt;=60,"31-60",IF(F2351&lt;=90,"61-90","90+"))))</f>
        <v/>
      </c>
    </row>
    <row r="2352">
      <c r="A2352" t="inlineStr">
        <is>
          <t>0009029627</t>
        </is>
      </c>
      <c r="B2352" t="inlineStr">
        <is>
          <t>0000100056</t>
        </is>
      </c>
      <c r="C2352" s="3" t="n">
        <v>46018</v>
      </c>
      <c r="D2352" s="3" t="n">
        <v>46078</v>
      </c>
      <c r="E2352" s="4" t="n">
        <v>7808.52</v>
      </c>
      <c r="F2352">
        <f>Summary!$B$3-D2352</f>
        <v/>
      </c>
      <c r="G2352">
        <f>IF(D2352&gt;Summary!$B$3,"Current",IF(F2352&lt;=30,"0-30",IF(F2352&lt;=60,"31-60",IF(F2352&lt;=90,"61-90","90+"))))</f>
        <v/>
      </c>
    </row>
    <row r="2353">
      <c r="A2353" t="inlineStr">
        <is>
          <t>0009029628</t>
        </is>
      </c>
      <c r="B2353" t="inlineStr">
        <is>
          <t>0000100206</t>
        </is>
      </c>
      <c r="C2353" s="3" t="n">
        <v>46021</v>
      </c>
      <c r="D2353" s="3" t="n">
        <v>46066</v>
      </c>
      <c r="E2353" s="4" t="n">
        <v>2360.79</v>
      </c>
      <c r="F2353">
        <f>Summary!$B$3-D2353</f>
        <v/>
      </c>
      <c r="G2353">
        <f>IF(D2353&gt;Summary!$B$3,"Current",IF(F2353&lt;=30,"0-30",IF(F2353&lt;=60,"31-60",IF(F2353&lt;=90,"61-90","90+"))))</f>
        <v/>
      </c>
    </row>
    <row r="2354">
      <c r="A2354" t="inlineStr">
        <is>
          <t>0009029629</t>
        </is>
      </c>
      <c r="B2354" t="inlineStr">
        <is>
          <t>0000100001</t>
        </is>
      </c>
      <c r="C2354" s="3" t="n">
        <v>46015</v>
      </c>
      <c r="D2354" s="3" t="n">
        <v>46060</v>
      </c>
      <c r="E2354" s="4" t="n">
        <v>1732.92</v>
      </c>
      <c r="F2354">
        <f>Summary!$B$3-D2354</f>
        <v/>
      </c>
      <c r="G2354">
        <f>IF(D2354&gt;Summary!$B$3,"Current",IF(F2354&lt;=30,"0-30",IF(F2354&lt;=60,"31-60",IF(F2354&lt;=90,"61-90","90+"))))</f>
        <v/>
      </c>
    </row>
    <row r="2355">
      <c r="A2355" t="inlineStr">
        <is>
          <t>0009029630</t>
        </is>
      </c>
      <c r="B2355" t="inlineStr">
        <is>
          <t>0000100297</t>
        </is>
      </c>
      <c r="C2355" s="3" t="n">
        <v>46018</v>
      </c>
      <c r="D2355" s="3" t="n">
        <v>46048</v>
      </c>
      <c r="E2355" s="4" t="n">
        <v>1018.29</v>
      </c>
      <c r="F2355">
        <f>Summary!$B$3-D2355</f>
        <v/>
      </c>
      <c r="G2355">
        <f>IF(D2355&gt;Summary!$B$3,"Current",IF(F2355&lt;=30,"0-30",IF(F2355&lt;=60,"31-60",IF(F2355&lt;=90,"61-90","90+"))))</f>
        <v/>
      </c>
    </row>
    <row r="2356">
      <c r="A2356" t="inlineStr">
        <is>
          <t>0009029631</t>
        </is>
      </c>
      <c r="B2356" t="inlineStr">
        <is>
          <t>0000100479</t>
        </is>
      </c>
      <c r="C2356" s="3" t="n">
        <v>46016</v>
      </c>
      <c r="D2356" s="3" t="n">
        <v>46046</v>
      </c>
      <c r="E2356" s="4" t="n">
        <v>607.5599999999999</v>
      </c>
      <c r="F2356">
        <f>Summary!$B$3-D2356</f>
        <v/>
      </c>
      <c r="G2356">
        <f>IF(D2356&gt;Summary!$B$3,"Current",IF(F2356&lt;=30,"0-30",IF(F2356&lt;=60,"31-60",IF(F2356&lt;=90,"61-90","90+"))))</f>
        <v/>
      </c>
    </row>
    <row r="2357">
      <c r="A2357" t="inlineStr">
        <is>
          <t>0009029633</t>
        </is>
      </c>
      <c r="B2357" t="inlineStr">
        <is>
          <t>0000100240</t>
        </is>
      </c>
      <c r="C2357" s="3" t="n">
        <v>46016</v>
      </c>
      <c r="D2357" s="3" t="n">
        <v>46046</v>
      </c>
      <c r="E2357" s="4" t="n">
        <v>414.46</v>
      </c>
      <c r="F2357">
        <f>Summary!$B$3-D2357</f>
        <v/>
      </c>
      <c r="G2357">
        <f>IF(D2357&gt;Summary!$B$3,"Current",IF(F2357&lt;=30,"0-30",IF(F2357&lt;=60,"31-60",IF(F2357&lt;=90,"61-90","90+"))))</f>
        <v/>
      </c>
    </row>
    <row r="2358">
      <c r="A2358" t="inlineStr">
        <is>
          <t>0009029634</t>
        </is>
      </c>
      <c r="B2358" t="inlineStr">
        <is>
          <t>0000100226</t>
        </is>
      </c>
      <c r="C2358" s="3" t="n">
        <v>46019</v>
      </c>
      <c r="D2358" s="3" t="n">
        <v>46064</v>
      </c>
      <c r="E2358" s="4" t="n">
        <v>255.76</v>
      </c>
      <c r="F2358">
        <f>Summary!$B$3-D2358</f>
        <v/>
      </c>
      <c r="G2358">
        <f>IF(D2358&gt;Summary!$B$3,"Current",IF(F2358&lt;=30,"0-30",IF(F2358&lt;=60,"31-60",IF(F2358&lt;=90,"61-90","90+"))))</f>
        <v/>
      </c>
    </row>
    <row r="2359">
      <c r="A2359" t="inlineStr">
        <is>
          <t>0009029635</t>
        </is>
      </c>
      <c r="B2359" t="inlineStr">
        <is>
          <t>0000100447</t>
        </is>
      </c>
      <c r="C2359" s="3" t="n">
        <v>46017</v>
      </c>
      <c r="D2359" s="3" t="n">
        <v>46062</v>
      </c>
      <c r="E2359" s="4" t="n">
        <v>178.9</v>
      </c>
      <c r="F2359">
        <f>Summary!$B$3-D2359</f>
        <v/>
      </c>
      <c r="G2359">
        <f>IF(D2359&gt;Summary!$B$3,"Current",IF(F2359&lt;=30,"0-30",IF(F2359&lt;=60,"31-60",IF(F2359&lt;=90,"61-90","90+"))))</f>
        <v/>
      </c>
    </row>
    <row r="2360">
      <c r="A2360" t="inlineStr">
        <is>
          <t>0009029636</t>
        </is>
      </c>
      <c r="B2360" t="inlineStr">
        <is>
          <t>0000100102</t>
        </is>
      </c>
      <c r="C2360" s="3" t="n">
        <v>46016</v>
      </c>
      <c r="D2360" s="3" t="n">
        <v>46046</v>
      </c>
      <c r="E2360" s="4" t="n">
        <v>414.47</v>
      </c>
      <c r="F2360">
        <f>Summary!$B$3-D2360</f>
        <v/>
      </c>
      <c r="G2360">
        <f>IF(D2360&gt;Summary!$B$3,"Current",IF(F2360&lt;=30,"0-30",IF(F2360&lt;=60,"31-60",IF(F2360&lt;=90,"61-90","90+"))))</f>
        <v/>
      </c>
    </row>
    <row r="2361">
      <c r="A2361" t="inlineStr">
        <is>
          <t>0009029637</t>
        </is>
      </c>
      <c r="B2361" t="inlineStr">
        <is>
          <t>0000100393</t>
        </is>
      </c>
      <c r="C2361" s="3" t="n">
        <v>46016</v>
      </c>
      <c r="D2361" s="3" t="n">
        <v>46046</v>
      </c>
      <c r="E2361" s="4" t="n">
        <v>978.08</v>
      </c>
      <c r="F2361">
        <f>Summary!$B$3-D2361</f>
        <v/>
      </c>
      <c r="G2361">
        <f>IF(D2361&gt;Summary!$B$3,"Current",IF(F2361&lt;=30,"0-30",IF(F2361&lt;=60,"31-60",IF(F2361&lt;=90,"61-90","90+"))))</f>
        <v/>
      </c>
    </row>
    <row r="2362">
      <c r="A2362" t="inlineStr">
        <is>
          <t>0009029638</t>
        </is>
      </c>
      <c r="B2362" t="inlineStr">
        <is>
          <t>0000100576</t>
        </is>
      </c>
      <c r="C2362" s="3" t="n">
        <v>46020</v>
      </c>
      <c r="D2362" s="3" t="n">
        <v>46050</v>
      </c>
      <c r="E2362" s="4" t="n">
        <v>3023.64</v>
      </c>
      <c r="F2362">
        <f>Summary!$B$3-D2362</f>
        <v/>
      </c>
      <c r="G2362">
        <f>IF(D2362&gt;Summary!$B$3,"Current",IF(F2362&lt;=30,"0-30",IF(F2362&lt;=60,"31-60",IF(F2362&lt;=90,"61-90","90+"))))</f>
        <v/>
      </c>
    </row>
    <row r="2363">
      <c r="A2363" t="inlineStr">
        <is>
          <t>0009029639</t>
        </is>
      </c>
      <c r="B2363" t="inlineStr">
        <is>
          <t>0000100115</t>
        </is>
      </c>
      <c r="C2363" s="3" t="n">
        <v>46022</v>
      </c>
      <c r="D2363" s="3" t="n">
        <v>46052</v>
      </c>
      <c r="E2363" s="4" t="n">
        <v>507.86</v>
      </c>
      <c r="F2363">
        <f>Summary!$B$3-D2363</f>
        <v/>
      </c>
      <c r="G2363">
        <f>IF(D2363&gt;Summary!$B$3,"Current",IF(F2363&lt;=30,"0-30",IF(F2363&lt;=60,"31-60",IF(F2363&lt;=90,"61-90","90+"))))</f>
        <v/>
      </c>
    </row>
    <row r="2364">
      <c r="A2364" t="inlineStr">
        <is>
          <t>0009029640</t>
        </is>
      </c>
      <c r="B2364" t="inlineStr">
        <is>
          <t>0000100362</t>
        </is>
      </c>
      <c r="C2364" s="3" t="n">
        <v>46014</v>
      </c>
      <c r="D2364" s="3" t="n">
        <v>46044</v>
      </c>
      <c r="E2364" s="4" t="n">
        <v>1747.61</v>
      </c>
      <c r="F2364">
        <f>Summary!$B$3-D2364</f>
        <v/>
      </c>
      <c r="G2364">
        <f>IF(D2364&gt;Summary!$B$3,"Current",IF(F2364&lt;=30,"0-30",IF(F2364&lt;=60,"31-60",IF(F2364&lt;=90,"61-90","90+"))))</f>
        <v/>
      </c>
    </row>
    <row r="2365">
      <c r="A2365" t="inlineStr">
        <is>
          <t>0009029641</t>
        </is>
      </c>
      <c r="B2365" t="inlineStr">
        <is>
          <t>0000100202</t>
        </is>
      </c>
      <c r="C2365" s="3" t="n">
        <v>46014</v>
      </c>
      <c r="D2365" s="3" t="n">
        <v>46074</v>
      </c>
      <c r="E2365" s="4" t="n">
        <v>578.17</v>
      </c>
      <c r="F2365">
        <f>Summary!$B$3-D2365</f>
        <v/>
      </c>
      <c r="G2365">
        <f>IF(D2365&gt;Summary!$B$3,"Current",IF(F2365&lt;=30,"0-30",IF(F2365&lt;=60,"31-60",IF(F2365&lt;=90,"61-90","90+"))))</f>
        <v/>
      </c>
    </row>
    <row r="2366">
      <c r="A2366" t="inlineStr">
        <is>
          <t>0009029642</t>
        </is>
      </c>
      <c r="B2366" t="inlineStr">
        <is>
          <t>0000100371</t>
        </is>
      </c>
      <c r="C2366" s="3" t="n">
        <v>46019</v>
      </c>
      <c r="D2366" s="3" t="n">
        <v>46049</v>
      </c>
      <c r="E2366" s="4" t="n">
        <v>590.26</v>
      </c>
      <c r="F2366">
        <f>Summary!$B$3-D2366</f>
        <v/>
      </c>
      <c r="G2366">
        <f>IF(D2366&gt;Summary!$B$3,"Current",IF(F2366&lt;=30,"0-30",IF(F2366&lt;=60,"31-60",IF(F2366&lt;=90,"61-90","90+"))))</f>
        <v/>
      </c>
    </row>
    <row r="2367">
      <c r="A2367" t="inlineStr">
        <is>
          <t>0009029643</t>
        </is>
      </c>
      <c r="B2367" t="inlineStr">
        <is>
          <t>0000100226</t>
        </is>
      </c>
      <c r="C2367" s="3" t="n">
        <v>46019</v>
      </c>
      <c r="D2367" s="3" t="n">
        <v>46064</v>
      </c>
      <c r="E2367" s="4" t="n">
        <v>420.02</v>
      </c>
      <c r="F2367">
        <f>Summary!$B$3-D2367</f>
        <v/>
      </c>
      <c r="G2367">
        <f>IF(D2367&gt;Summary!$B$3,"Current",IF(F2367&lt;=30,"0-30",IF(F2367&lt;=60,"31-60",IF(F2367&lt;=90,"61-90","90+"))))</f>
        <v/>
      </c>
    </row>
    <row r="2368">
      <c r="A2368" t="inlineStr">
        <is>
          <t>0009029644</t>
        </is>
      </c>
      <c r="B2368" t="inlineStr">
        <is>
          <t>0000100512</t>
        </is>
      </c>
      <c r="C2368" s="3" t="n">
        <v>46021</v>
      </c>
      <c r="D2368" s="3" t="n">
        <v>46066</v>
      </c>
      <c r="E2368" s="4" t="n">
        <v>2394.39</v>
      </c>
      <c r="F2368">
        <f>Summary!$B$3-D2368</f>
        <v/>
      </c>
      <c r="G2368">
        <f>IF(D2368&gt;Summary!$B$3,"Current",IF(F2368&lt;=30,"0-30",IF(F2368&lt;=60,"31-60",IF(F2368&lt;=90,"61-90","90+"))))</f>
        <v/>
      </c>
    </row>
    <row r="2369">
      <c r="A2369" t="inlineStr">
        <is>
          <t>0009029645</t>
        </is>
      </c>
      <c r="B2369" t="inlineStr">
        <is>
          <t>0000100075</t>
        </is>
      </c>
      <c r="C2369" s="3" t="n">
        <v>46018</v>
      </c>
      <c r="D2369" s="3" t="n">
        <v>46048</v>
      </c>
      <c r="E2369" s="4" t="n">
        <v>458.25</v>
      </c>
      <c r="F2369">
        <f>Summary!$B$3-D2369</f>
        <v/>
      </c>
      <c r="G2369">
        <f>IF(D2369&gt;Summary!$B$3,"Current",IF(F2369&lt;=30,"0-30",IF(F2369&lt;=60,"31-60",IF(F2369&lt;=90,"61-90","90+"))))</f>
        <v/>
      </c>
    </row>
    <row r="2370">
      <c r="A2370" t="inlineStr">
        <is>
          <t>0009029646</t>
        </is>
      </c>
      <c r="B2370" t="inlineStr">
        <is>
          <t>0000100056</t>
        </is>
      </c>
      <c r="C2370" s="3" t="n">
        <v>46019</v>
      </c>
      <c r="D2370" s="3" t="n">
        <v>46079</v>
      </c>
      <c r="E2370" s="4" t="n">
        <v>263.44</v>
      </c>
      <c r="F2370">
        <f>Summary!$B$3-D2370</f>
        <v/>
      </c>
      <c r="G2370">
        <f>IF(D2370&gt;Summary!$B$3,"Current",IF(F2370&lt;=30,"0-30",IF(F2370&lt;=60,"31-60",IF(F2370&lt;=90,"61-90","90+"))))</f>
        <v/>
      </c>
    </row>
    <row r="2371">
      <c r="A2371" t="inlineStr">
        <is>
          <t>0009029647</t>
        </is>
      </c>
      <c r="B2371" t="inlineStr">
        <is>
          <t>0000100114</t>
        </is>
      </c>
      <c r="C2371" s="3" t="n">
        <v>46013</v>
      </c>
      <c r="D2371" s="3" t="n">
        <v>46058</v>
      </c>
      <c r="E2371" s="4" t="n">
        <v>336.44</v>
      </c>
      <c r="F2371">
        <f>Summary!$B$3-D2371</f>
        <v/>
      </c>
      <c r="G2371">
        <f>IF(D2371&gt;Summary!$B$3,"Current",IF(F2371&lt;=30,"0-30",IF(F2371&lt;=60,"31-60",IF(F2371&lt;=90,"61-90","90+"))))</f>
        <v/>
      </c>
    </row>
    <row r="2372">
      <c r="A2372" t="inlineStr">
        <is>
          <t>0009029648</t>
        </is>
      </c>
      <c r="B2372" t="inlineStr">
        <is>
          <t>0000100260</t>
        </is>
      </c>
      <c r="C2372" s="3" t="n">
        <v>46017</v>
      </c>
      <c r="D2372" s="3" t="n">
        <v>46062</v>
      </c>
      <c r="E2372" s="4" t="n">
        <v>484.68</v>
      </c>
      <c r="F2372">
        <f>Summary!$B$3-D2372</f>
        <v/>
      </c>
      <c r="G2372">
        <f>IF(D2372&gt;Summary!$B$3,"Current",IF(F2372&lt;=30,"0-30",IF(F2372&lt;=60,"31-60",IF(F2372&lt;=90,"61-90","90+"))))</f>
        <v/>
      </c>
    </row>
    <row r="2373">
      <c r="A2373" t="inlineStr">
        <is>
          <t>0009029649</t>
        </is>
      </c>
      <c r="B2373" t="inlineStr">
        <is>
          <t>0000100056</t>
        </is>
      </c>
      <c r="C2373" s="3" t="n">
        <v>46017</v>
      </c>
      <c r="D2373" s="3" t="n">
        <v>46077</v>
      </c>
      <c r="E2373" s="4" t="n">
        <v>543.8099999999999</v>
      </c>
      <c r="F2373">
        <f>Summary!$B$3-D2373</f>
        <v/>
      </c>
      <c r="G2373">
        <f>IF(D2373&gt;Summary!$B$3,"Current",IF(F2373&lt;=30,"0-30",IF(F2373&lt;=60,"31-60",IF(F2373&lt;=90,"61-90","90+"))))</f>
        <v/>
      </c>
    </row>
    <row r="2374">
      <c r="A2374" t="inlineStr">
        <is>
          <t>0009029650</t>
        </is>
      </c>
      <c r="B2374" t="inlineStr">
        <is>
          <t>0000100593</t>
        </is>
      </c>
      <c r="C2374" s="3" t="n">
        <v>46020</v>
      </c>
      <c r="D2374" s="3" t="n">
        <v>46080</v>
      </c>
      <c r="E2374" s="4" t="n">
        <v>942.48</v>
      </c>
      <c r="F2374">
        <f>Summary!$B$3-D2374</f>
        <v/>
      </c>
      <c r="G2374">
        <f>IF(D2374&gt;Summary!$B$3,"Current",IF(F2374&lt;=30,"0-30",IF(F2374&lt;=60,"31-60",IF(F2374&lt;=90,"61-90","90+"))))</f>
        <v/>
      </c>
    </row>
    <row r="2375">
      <c r="A2375" t="inlineStr">
        <is>
          <t>0009029651</t>
        </is>
      </c>
      <c r="B2375" t="inlineStr">
        <is>
          <t>0000100051</t>
        </is>
      </c>
      <c r="C2375" s="3" t="n">
        <v>46017</v>
      </c>
      <c r="D2375" s="3" t="n">
        <v>46077</v>
      </c>
      <c r="E2375" s="4" t="n">
        <v>420.86</v>
      </c>
      <c r="F2375">
        <f>Summary!$B$3-D2375</f>
        <v/>
      </c>
      <c r="G2375">
        <f>IF(D2375&gt;Summary!$B$3,"Current",IF(F2375&lt;=30,"0-30",IF(F2375&lt;=60,"31-60",IF(F2375&lt;=90,"61-90","90+"))))</f>
        <v/>
      </c>
    </row>
    <row r="2376">
      <c r="A2376" t="inlineStr">
        <is>
          <t>0009029652</t>
        </is>
      </c>
      <c r="B2376" t="inlineStr">
        <is>
          <t>0000100521</t>
        </is>
      </c>
      <c r="C2376" s="3" t="n">
        <v>46015</v>
      </c>
      <c r="D2376" s="3" t="n">
        <v>46045</v>
      </c>
      <c r="E2376" s="4" t="n">
        <v>561.0700000000001</v>
      </c>
      <c r="F2376">
        <f>Summary!$B$3-D2376</f>
        <v/>
      </c>
      <c r="G2376">
        <f>IF(D2376&gt;Summary!$B$3,"Current",IF(F2376&lt;=30,"0-30",IF(F2376&lt;=60,"31-60",IF(F2376&lt;=90,"61-90","90+"))))</f>
        <v/>
      </c>
    </row>
    <row r="2377">
      <c r="A2377" t="inlineStr">
        <is>
          <t>0009029653</t>
        </is>
      </c>
      <c r="B2377" t="inlineStr">
        <is>
          <t>0000100394</t>
        </is>
      </c>
      <c r="C2377" s="3" t="n">
        <v>46019</v>
      </c>
      <c r="D2377" s="3" t="n">
        <v>46079</v>
      </c>
      <c r="E2377" s="4" t="n">
        <v>841.36</v>
      </c>
      <c r="F2377">
        <f>Summary!$B$3-D2377</f>
        <v/>
      </c>
      <c r="G2377">
        <f>IF(D2377&gt;Summary!$B$3,"Current",IF(F2377&lt;=30,"0-30",IF(F2377&lt;=60,"31-60",IF(F2377&lt;=90,"61-90","90+"))))</f>
        <v/>
      </c>
    </row>
    <row r="2378">
      <c r="A2378" t="inlineStr">
        <is>
          <t>0009029654</t>
        </is>
      </c>
      <c r="B2378" t="inlineStr">
        <is>
          <t>0000100346</t>
        </is>
      </c>
      <c r="C2378" s="3" t="n">
        <v>46014</v>
      </c>
      <c r="D2378" s="3" t="n">
        <v>46059</v>
      </c>
      <c r="E2378" s="4" t="n">
        <v>1028.18</v>
      </c>
      <c r="F2378">
        <f>Summary!$B$3-D2378</f>
        <v/>
      </c>
      <c r="G2378">
        <f>IF(D2378&gt;Summary!$B$3,"Current",IF(F2378&lt;=30,"0-30",IF(F2378&lt;=60,"31-60",IF(F2378&lt;=90,"61-90","90+"))))</f>
        <v/>
      </c>
    </row>
    <row r="2379">
      <c r="A2379" t="inlineStr">
        <is>
          <t>0009029655</t>
        </is>
      </c>
      <c r="B2379" t="inlineStr">
        <is>
          <t>0000100525</t>
        </is>
      </c>
      <c r="C2379" s="3" t="n">
        <v>46016</v>
      </c>
      <c r="D2379" s="3" t="n">
        <v>46061</v>
      </c>
      <c r="E2379" s="4" t="n">
        <v>751.6799999999999</v>
      </c>
      <c r="F2379">
        <f>Summary!$B$3-D2379</f>
        <v/>
      </c>
      <c r="G2379">
        <f>IF(D2379&gt;Summary!$B$3,"Current",IF(F2379&lt;=30,"0-30",IF(F2379&lt;=60,"31-60",IF(F2379&lt;=90,"61-90","90+"))))</f>
        <v/>
      </c>
    </row>
    <row r="2380">
      <c r="A2380" t="inlineStr">
        <is>
          <t>0009029656</t>
        </is>
      </c>
      <c r="B2380" t="inlineStr">
        <is>
          <t>0000100170</t>
        </is>
      </c>
      <c r="C2380" s="3" t="n">
        <v>46020</v>
      </c>
      <c r="D2380" s="3" t="n">
        <v>46050</v>
      </c>
      <c r="E2380" s="4" t="n">
        <v>92.95</v>
      </c>
      <c r="F2380">
        <f>Summary!$B$3-D2380</f>
        <v/>
      </c>
      <c r="G2380">
        <f>IF(D2380&gt;Summary!$B$3,"Current",IF(F2380&lt;=30,"0-30",IF(F2380&lt;=60,"31-60",IF(F2380&lt;=90,"61-90","90+"))))</f>
        <v/>
      </c>
    </row>
    <row r="2381">
      <c r="A2381" t="inlineStr">
        <is>
          <t>0009029657</t>
        </is>
      </c>
      <c r="B2381" t="inlineStr">
        <is>
          <t>0000100465</t>
        </is>
      </c>
      <c r="C2381" s="3" t="n">
        <v>46013</v>
      </c>
      <c r="D2381" s="3" t="n">
        <v>46073</v>
      </c>
      <c r="E2381" s="4" t="n">
        <v>256.38</v>
      </c>
      <c r="F2381">
        <f>Summary!$B$3-D2381</f>
        <v/>
      </c>
      <c r="G2381">
        <f>IF(D2381&gt;Summary!$B$3,"Current",IF(F2381&lt;=30,"0-30",IF(F2381&lt;=60,"31-60",IF(F2381&lt;=90,"61-90","90+"))))</f>
        <v/>
      </c>
    </row>
    <row r="2382">
      <c r="A2382" t="inlineStr">
        <is>
          <t>0009029658</t>
        </is>
      </c>
      <c r="B2382" t="inlineStr">
        <is>
          <t>0000100338</t>
        </is>
      </c>
      <c r="C2382" s="3" t="n">
        <v>46017</v>
      </c>
      <c r="D2382" s="3" t="n">
        <v>46077</v>
      </c>
      <c r="E2382" s="4" t="n">
        <v>1556.49</v>
      </c>
      <c r="F2382">
        <f>Summary!$B$3-D2382</f>
        <v/>
      </c>
      <c r="G2382">
        <f>IF(D2382&gt;Summary!$B$3,"Current",IF(F2382&lt;=30,"0-30",IF(F2382&lt;=60,"31-60",IF(F2382&lt;=90,"61-90","90+"))))</f>
        <v/>
      </c>
    </row>
    <row r="2383">
      <c r="A2383" t="inlineStr">
        <is>
          <t>0009029659</t>
        </is>
      </c>
      <c r="B2383" t="inlineStr">
        <is>
          <t>0000100490</t>
        </is>
      </c>
      <c r="C2383" s="3" t="n">
        <v>46016</v>
      </c>
      <c r="D2383" s="3" t="n">
        <v>46046</v>
      </c>
      <c r="E2383" s="4" t="n">
        <v>7330.79</v>
      </c>
      <c r="F2383">
        <f>Summary!$B$3-D2383</f>
        <v/>
      </c>
      <c r="G2383">
        <f>IF(D2383&gt;Summary!$B$3,"Current",IF(F2383&lt;=30,"0-30",IF(F2383&lt;=60,"31-60",IF(F2383&lt;=90,"61-90","90+"))))</f>
        <v/>
      </c>
    </row>
    <row r="2384">
      <c r="A2384" t="inlineStr">
        <is>
          <t>0009029660</t>
        </is>
      </c>
      <c r="B2384" t="inlineStr">
        <is>
          <t>0000100586</t>
        </is>
      </c>
      <c r="C2384" s="3" t="n">
        <v>46014</v>
      </c>
      <c r="D2384" s="3" t="n">
        <v>46044</v>
      </c>
      <c r="E2384" s="4" t="n">
        <v>57.28</v>
      </c>
      <c r="F2384">
        <f>Summary!$B$3-D2384</f>
        <v/>
      </c>
      <c r="G2384">
        <f>IF(D2384&gt;Summary!$B$3,"Current",IF(F2384&lt;=30,"0-30",IF(F2384&lt;=60,"31-60",IF(F2384&lt;=90,"61-90","90+"))))</f>
        <v/>
      </c>
    </row>
    <row r="2385">
      <c r="A2385" t="inlineStr">
        <is>
          <t>0009029661</t>
        </is>
      </c>
      <c r="B2385" t="inlineStr">
        <is>
          <t>0000100169</t>
        </is>
      </c>
      <c r="C2385" s="3" t="n">
        <v>46015</v>
      </c>
      <c r="D2385" s="3" t="n">
        <v>46060</v>
      </c>
      <c r="E2385" s="4" t="n">
        <v>2356</v>
      </c>
      <c r="F2385">
        <f>Summary!$B$3-D2385</f>
        <v/>
      </c>
      <c r="G2385">
        <f>IF(D2385&gt;Summary!$B$3,"Current",IF(F2385&lt;=30,"0-30",IF(F2385&lt;=60,"31-60",IF(F2385&lt;=90,"61-90","90+"))))</f>
        <v/>
      </c>
    </row>
    <row r="2386">
      <c r="A2386" t="inlineStr">
        <is>
          <t>0009029662</t>
        </is>
      </c>
      <c r="B2386" t="inlineStr">
        <is>
          <t>0000100450</t>
        </is>
      </c>
      <c r="C2386" s="3" t="n">
        <v>46018</v>
      </c>
      <c r="D2386" s="3" t="n">
        <v>46063</v>
      </c>
      <c r="E2386" s="4" t="n">
        <v>828</v>
      </c>
      <c r="F2386">
        <f>Summary!$B$3-D2386</f>
        <v/>
      </c>
      <c r="G2386">
        <f>IF(D2386&gt;Summary!$B$3,"Current",IF(F2386&lt;=30,"0-30",IF(F2386&lt;=60,"31-60",IF(F2386&lt;=90,"61-90","90+"))))</f>
        <v/>
      </c>
    </row>
    <row r="2387">
      <c r="A2387" t="inlineStr">
        <is>
          <t>0009029663</t>
        </is>
      </c>
      <c r="B2387" t="inlineStr">
        <is>
          <t>0000100382</t>
        </is>
      </c>
      <c r="C2387" s="3" t="n">
        <v>46020</v>
      </c>
      <c r="D2387" s="3" t="n">
        <v>46065</v>
      </c>
      <c r="E2387" s="4" t="n">
        <v>6091.79</v>
      </c>
      <c r="F2387">
        <f>Summary!$B$3-D2387</f>
        <v/>
      </c>
      <c r="G2387">
        <f>IF(D2387&gt;Summary!$B$3,"Current",IF(F2387&lt;=30,"0-30",IF(F2387&lt;=60,"31-60",IF(F2387&lt;=90,"61-90","90+"))))</f>
        <v/>
      </c>
    </row>
    <row r="2388">
      <c r="A2388" t="inlineStr">
        <is>
          <t>0009029664</t>
        </is>
      </c>
      <c r="B2388" t="inlineStr">
        <is>
          <t>0000100178</t>
        </is>
      </c>
      <c r="C2388" s="3" t="n">
        <v>46019</v>
      </c>
      <c r="D2388" s="3" t="n">
        <v>46064</v>
      </c>
      <c r="E2388" s="4" t="n">
        <v>18.87</v>
      </c>
      <c r="F2388">
        <f>Summary!$B$3-D2388</f>
        <v/>
      </c>
      <c r="G2388">
        <f>IF(D2388&gt;Summary!$B$3,"Current",IF(F2388&lt;=30,"0-30",IF(F2388&lt;=60,"31-60",IF(F2388&lt;=90,"61-90","90+"))))</f>
        <v/>
      </c>
    </row>
    <row r="2389">
      <c r="A2389" t="inlineStr">
        <is>
          <t>0009029665</t>
        </is>
      </c>
      <c r="B2389" t="inlineStr">
        <is>
          <t>0000100543</t>
        </is>
      </c>
      <c r="C2389" s="3" t="n">
        <v>46014</v>
      </c>
      <c r="D2389" s="3" t="n">
        <v>46074</v>
      </c>
      <c r="E2389" s="4" t="n">
        <v>196.74</v>
      </c>
      <c r="F2389">
        <f>Summary!$B$3-D2389</f>
        <v/>
      </c>
      <c r="G2389">
        <f>IF(D2389&gt;Summary!$B$3,"Current",IF(F2389&lt;=30,"0-30",IF(F2389&lt;=60,"31-60",IF(F2389&lt;=90,"61-90","90+"))))</f>
        <v/>
      </c>
    </row>
    <row r="2390">
      <c r="A2390" t="inlineStr">
        <is>
          <t>0009029666</t>
        </is>
      </c>
      <c r="B2390" t="inlineStr">
        <is>
          <t>0000100017</t>
        </is>
      </c>
      <c r="C2390" s="3" t="n">
        <v>46022</v>
      </c>
      <c r="D2390" s="3" t="n">
        <v>46052</v>
      </c>
      <c r="E2390" s="4" t="n">
        <v>152.37</v>
      </c>
      <c r="F2390">
        <f>Summary!$B$3-D2390</f>
        <v/>
      </c>
      <c r="G2390">
        <f>IF(D2390&gt;Summary!$B$3,"Current",IF(F2390&lt;=30,"0-30",IF(F2390&lt;=60,"31-60",IF(F2390&lt;=90,"61-90","90+"))))</f>
        <v/>
      </c>
    </row>
    <row r="2391">
      <c r="A2391" t="inlineStr">
        <is>
          <t>0009029667</t>
        </is>
      </c>
      <c r="B2391" t="inlineStr">
        <is>
          <t>0000100185</t>
        </is>
      </c>
      <c r="C2391" s="3" t="n">
        <v>46019</v>
      </c>
      <c r="D2391" s="3" t="n">
        <v>46049</v>
      </c>
      <c r="E2391" s="4" t="n">
        <v>1199.88</v>
      </c>
      <c r="F2391">
        <f>Summary!$B$3-D2391</f>
        <v/>
      </c>
      <c r="G2391">
        <f>IF(D2391&gt;Summary!$B$3,"Current",IF(F2391&lt;=30,"0-30",IF(F2391&lt;=60,"31-60",IF(F2391&lt;=90,"61-90","90+"))))</f>
        <v/>
      </c>
    </row>
    <row r="2392">
      <c r="A2392" t="inlineStr">
        <is>
          <t>0009029668</t>
        </is>
      </c>
      <c r="B2392" t="inlineStr">
        <is>
          <t>0000100285</t>
        </is>
      </c>
      <c r="C2392" s="3" t="n">
        <v>46015</v>
      </c>
      <c r="D2392" s="3" t="n">
        <v>46045</v>
      </c>
      <c r="E2392" s="4" t="n">
        <v>2103.8</v>
      </c>
      <c r="F2392">
        <f>Summary!$B$3-D2392</f>
        <v/>
      </c>
      <c r="G2392">
        <f>IF(D2392&gt;Summary!$B$3,"Current",IF(F2392&lt;=30,"0-30",IF(F2392&lt;=60,"31-60",IF(F2392&lt;=90,"61-90","90+"))))</f>
        <v/>
      </c>
    </row>
    <row r="2393">
      <c r="A2393" t="inlineStr">
        <is>
          <t>0009029669</t>
        </is>
      </c>
      <c r="B2393" t="inlineStr">
        <is>
          <t>0000100456</t>
        </is>
      </c>
      <c r="C2393" s="3" t="n">
        <v>46021</v>
      </c>
      <c r="D2393" s="3" t="n">
        <v>46081</v>
      </c>
      <c r="E2393" s="4" t="n">
        <v>273.91</v>
      </c>
      <c r="F2393">
        <f>Summary!$B$3-D2393</f>
        <v/>
      </c>
      <c r="G2393">
        <f>IF(D2393&gt;Summary!$B$3,"Current",IF(F2393&lt;=30,"0-30",IF(F2393&lt;=60,"31-60",IF(F2393&lt;=90,"61-90","90+"))))</f>
        <v/>
      </c>
    </row>
    <row r="2394">
      <c r="A2394" t="inlineStr">
        <is>
          <t>0009029670</t>
        </is>
      </c>
      <c r="B2394" t="inlineStr">
        <is>
          <t>0000100279</t>
        </is>
      </c>
      <c r="C2394" s="3" t="n">
        <v>46016</v>
      </c>
      <c r="D2394" s="3" t="n">
        <v>46061</v>
      </c>
      <c r="E2394" s="4" t="n">
        <v>294.85</v>
      </c>
      <c r="F2394">
        <f>Summary!$B$3-D2394</f>
        <v/>
      </c>
      <c r="G2394">
        <f>IF(D2394&gt;Summary!$B$3,"Current",IF(F2394&lt;=30,"0-30",IF(F2394&lt;=60,"31-60",IF(F2394&lt;=90,"61-90","90+"))))</f>
        <v/>
      </c>
    </row>
    <row r="2395">
      <c r="A2395" t="inlineStr">
        <is>
          <t>0009029671</t>
        </is>
      </c>
      <c r="B2395" t="inlineStr">
        <is>
          <t>0000100365</t>
        </is>
      </c>
      <c r="C2395" s="3" t="n">
        <v>46012</v>
      </c>
      <c r="D2395" s="3" t="n">
        <v>46042</v>
      </c>
      <c r="E2395" s="4" t="n">
        <v>103.71</v>
      </c>
      <c r="F2395">
        <f>Summary!$B$3-D2395</f>
        <v/>
      </c>
      <c r="G2395">
        <f>IF(D2395&gt;Summary!$B$3,"Current",IF(F2395&lt;=30,"0-30",IF(F2395&lt;=60,"31-60",IF(F2395&lt;=90,"61-90","90+"))))</f>
        <v/>
      </c>
    </row>
    <row r="2396">
      <c r="A2396" t="inlineStr">
        <is>
          <t>0009029672</t>
        </is>
      </c>
      <c r="B2396" t="inlineStr">
        <is>
          <t>0000100593</t>
        </is>
      </c>
      <c r="C2396" s="3" t="n">
        <v>46015</v>
      </c>
      <c r="D2396" s="3" t="n">
        <v>46075</v>
      </c>
      <c r="E2396" s="4" t="n">
        <v>549.46</v>
      </c>
      <c r="F2396">
        <f>Summary!$B$3-D2396</f>
        <v/>
      </c>
      <c r="G2396">
        <f>IF(D2396&gt;Summary!$B$3,"Current",IF(F2396&lt;=30,"0-30",IF(F2396&lt;=60,"31-60",IF(F2396&lt;=90,"61-90","90+"))))</f>
        <v/>
      </c>
    </row>
    <row r="2397">
      <c r="A2397" t="inlineStr">
        <is>
          <t>0009029673</t>
        </is>
      </c>
      <c r="B2397" t="inlineStr">
        <is>
          <t>0000100417</t>
        </is>
      </c>
      <c r="C2397" s="3" t="n">
        <v>46017</v>
      </c>
      <c r="D2397" s="3" t="n">
        <v>46077</v>
      </c>
      <c r="E2397" s="4" t="n">
        <v>940.13</v>
      </c>
      <c r="F2397">
        <f>Summary!$B$3-D2397</f>
        <v/>
      </c>
      <c r="G2397">
        <f>IF(D2397&gt;Summary!$B$3,"Current",IF(F2397&lt;=30,"0-30",IF(F2397&lt;=60,"31-60",IF(F2397&lt;=90,"61-90","90+"))))</f>
        <v/>
      </c>
    </row>
    <row r="2398">
      <c r="A2398" t="inlineStr">
        <is>
          <t>0009029674</t>
        </is>
      </c>
      <c r="B2398" t="inlineStr">
        <is>
          <t>0000100065</t>
        </is>
      </c>
      <c r="C2398" s="3" t="n">
        <v>46016</v>
      </c>
      <c r="D2398" s="3" t="n">
        <v>46061</v>
      </c>
      <c r="E2398" s="4" t="n">
        <v>713.24</v>
      </c>
      <c r="F2398">
        <f>Summary!$B$3-D2398</f>
        <v/>
      </c>
      <c r="G2398">
        <f>IF(D2398&gt;Summary!$B$3,"Current",IF(F2398&lt;=30,"0-30",IF(F2398&lt;=60,"31-60",IF(F2398&lt;=90,"61-90","90+"))))</f>
        <v/>
      </c>
    </row>
    <row r="2399">
      <c r="A2399" t="inlineStr">
        <is>
          <t>0009029675</t>
        </is>
      </c>
      <c r="B2399" t="inlineStr">
        <is>
          <t>0000100078</t>
        </is>
      </c>
      <c r="C2399" s="3" t="n">
        <v>46016</v>
      </c>
      <c r="D2399" s="3" t="n">
        <v>46046</v>
      </c>
      <c r="E2399" s="4" t="n">
        <v>69.64</v>
      </c>
      <c r="F2399">
        <f>Summary!$B$3-D2399</f>
        <v/>
      </c>
      <c r="G2399">
        <f>IF(D2399&gt;Summary!$B$3,"Current",IF(F2399&lt;=30,"0-30",IF(F2399&lt;=60,"31-60",IF(F2399&lt;=90,"61-90","90+"))))</f>
        <v/>
      </c>
    </row>
    <row r="2400">
      <c r="A2400" t="inlineStr">
        <is>
          <t>0009029676</t>
        </is>
      </c>
      <c r="B2400" t="inlineStr">
        <is>
          <t>0000100169</t>
        </is>
      </c>
      <c r="C2400" s="3" t="n">
        <v>46021</v>
      </c>
      <c r="D2400" s="3" t="n">
        <v>46066</v>
      </c>
      <c r="E2400" s="4" t="n">
        <v>387.16</v>
      </c>
      <c r="F2400">
        <f>Summary!$B$3-D2400</f>
        <v/>
      </c>
      <c r="G2400">
        <f>IF(D2400&gt;Summary!$B$3,"Current",IF(F2400&lt;=30,"0-30",IF(F2400&lt;=60,"31-60",IF(F2400&lt;=90,"61-90","90+"))))</f>
        <v/>
      </c>
    </row>
    <row r="2401">
      <c r="A2401" t="inlineStr">
        <is>
          <t>0009029677</t>
        </is>
      </c>
      <c r="B2401" t="inlineStr">
        <is>
          <t>0000100203</t>
        </is>
      </c>
      <c r="C2401" s="3" t="n">
        <v>46015</v>
      </c>
      <c r="D2401" s="3" t="n">
        <v>46060</v>
      </c>
      <c r="E2401" s="4" t="n">
        <v>137.08</v>
      </c>
      <c r="F2401">
        <f>Summary!$B$3-D2401</f>
        <v/>
      </c>
      <c r="G2401">
        <f>IF(D2401&gt;Summary!$B$3,"Current",IF(F2401&lt;=30,"0-30",IF(F2401&lt;=60,"31-60",IF(F2401&lt;=90,"61-90","90+"))))</f>
        <v/>
      </c>
    </row>
    <row r="2402">
      <c r="A2402" t="inlineStr">
        <is>
          <t>0009029678</t>
        </is>
      </c>
      <c r="B2402" t="inlineStr">
        <is>
          <t>0000100360</t>
        </is>
      </c>
      <c r="C2402" s="3" t="n">
        <v>46017</v>
      </c>
      <c r="D2402" s="3" t="n">
        <v>46062</v>
      </c>
      <c r="E2402" s="4" t="n">
        <v>317.5</v>
      </c>
      <c r="F2402">
        <f>Summary!$B$3-D2402</f>
        <v/>
      </c>
      <c r="G2402">
        <f>IF(D2402&gt;Summary!$B$3,"Current",IF(F2402&lt;=30,"0-30",IF(F2402&lt;=60,"31-60",IF(F2402&lt;=90,"61-90","90+"))))</f>
        <v/>
      </c>
    </row>
    <row r="2403">
      <c r="A2403" t="inlineStr">
        <is>
          <t>0009029679</t>
        </is>
      </c>
      <c r="B2403" t="inlineStr">
        <is>
          <t>0000100169</t>
        </is>
      </c>
      <c r="C2403" s="3" t="n">
        <v>46012</v>
      </c>
      <c r="D2403" s="3" t="n">
        <v>46057</v>
      </c>
      <c r="E2403" s="4" t="n">
        <v>187.56</v>
      </c>
      <c r="F2403">
        <f>Summary!$B$3-D2403</f>
        <v/>
      </c>
      <c r="G2403">
        <f>IF(D2403&gt;Summary!$B$3,"Current",IF(F2403&lt;=30,"0-30",IF(F2403&lt;=60,"31-60",IF(F2403&lt;=90,"61-90","90+"))))</f>
        <v/>
      </c>
    </row>
    <row r="2404">
      <c r="A2404" t="inlineStr">
        <is>
          <t>0009029680</t>
        </is>
      </c>
      <c r="B2404" t="inlineStr">
        <is>
          <t>0000100536</t>
        </is>
      </c>
      <c r="C2404" s="3" t="n">
        <v>46016</v>
      </c>
      <c r="D2404" s="3" t="n">
        <v>46046</v>
      </c>
      <c r="E2404" s="4" t="n">
        <v>5341.65</v>
      </c>
      <c r="F2404">
        <f>Summary!$B$3-D2404</f>
        <v/>
      </c>
      <c r="G2404">
        <f>IF(D2404&gt;Summary!$B$3,"Current",IF(F2404&lt;=30,"0-30",IF(F2404&lt;=60,"31-60",IF(F2404&lt;=90,"61-90","90+"))))</f>
        <v/>
      </c>
    </row>
    <row r="2405">
      <c r="A2405" t="inlineStr">
        <is>
          <t>0009029681</t>
        </is>
      </c>
      <c r="B2405" t="inlineStr">
        <is>
          <t>0000100484</t>
        </is>
      </c>
      <c r="C2405" s="3" t="n">
        <v>46019</v>
      </c>
      <c r="D2405" s="3" t="n">
        <v>46079</v>
      </c>
      <c r="E2405" s="4" t="n">
        <v>1084.92</v>
      </c>
      <c r="F2405">
        <f>Summary!$B$3-D2405</f>
        <v/>
      </c>
      <c r="G2405">
        <f>IF(D2405&gt;Summary!$B$3,"Current",IF(F2405&lt;=30,"0-30",IF(F2405&lt;=60,"31-60",IF(F2405&lt;=90,"61-90","90+"))))</f>
        <v/>
      </c>
    </row>
    <row r="2406">
      <c r="A2406" t="inlineStr">
        <is>
          <t>0009029682</t>
        </is>
      </c>
      <c r="B2406" t="inlineStr">
        <is>
          <t>0000100581</t>
        </is>
      </c>
      <c r="C2406" s="3" t="n">
        <v>46020</v>
      </c>
      <c r="D2406" s="3" t="n">
        <v>46050</v>
      </c>
      <c r="E2406" s="4" t="n">
        <v>2920.81</v>
      </c>
      <c r="F2406">
        <f>Summary!$B$3-D2406</f>
        <v/>
      </c>
      <c r="G2406">
        <f>IF(D2406&gt;Summary!$B$3,"Current",IF(F2406&lt;=30,"0-30",IF(F2406&lt;=60,"31-60",IF(F2406&lt;=90,"61-90","90+"))))</f>
        <v/>
      </c>
    </row>
    <row r="2407">
      <c r="A2407" t="inlineStr">
        <is>
          <t>0009029683</t>
        </is>
      </c>
      <c r="B2407" t="inlineStr">
        <is>
          <t>0000100340</t>
        </is>
      </c>
      <c r="C2407" s="3" t="n">
        <v>46015</v>
      </c>
      <c r="D2407" s="3" t="n">
        <v>46045</v>
      </c>
      <c r="E2407" s="4" t="n">
        <v>165</v>
      </c>
      <c r="F2407">
        <f>Summary!$B$3-D2407</f>
        <v/>
      </c>
      <c r="G2407">
        <f>IF(D2407&gt;Summary!$B$3,"Current",IF(F2407&lt;=30,"0-30",IF(F2407&lt;=60,"31-60",IF(F2407&lt;=90,"61-90","90+"))))</f>
        <v/>
      </c>
    </row>
    <row r="2408">
      <c r="A2408" t="inlineStr">
        <is>
          <t>0009029684</t>
        </is>
      </c>
      <c r="B2408" t="inlineStr">
        <is>
          <t>0000100424</t>
        </is>
      </c>
      <c r="C2408" s="3" t="n">
        <v>46019</v>
      </c>
      <c r="D2408" s="3" t="n">
        <v>46064</v>
      </c>
      <c r="E2408" s="4" t="n">
        <v>2931.27</v>
      </c>
      <c r="F2408">
        <f>Summary!$B$3-D2408</f>
        <v/>
      </c>
      <c r="G2408">
        <f>IF(D2408&gt;Summary!$B$3,"Current",IF(F2408&lt;=30,"0-30",IF(F2408&lt;=60,"31-60",IF(F2408&lt;=90,"61-90","90+"))))</f>
        <v/>
      </c>
    </row>
    <row r="2409">
      <c r="A2409" t="inlineStr">
        <is>
          <t>0009029685</t>
        </is>
      </c>
      <c r="B2409" t="inlineStr">
        <is>
          <t>0000100058</t>
        </is>
      </c>
      <c r="C2409" s="3" t="n">
        <v>46017</v>
      </c>
      <c r="D2409" s="3" t="n">
        <v>46062</v>
      </c>
      <c r="E2409" s="4" t="n">
        <v>3112.16</v>
      </c>
      <c r="F2409">
        <f>Summary!$B$3-D2409</f>
        <v/>
      </c>
      <c r="G2409">
        <f>IF(D2409&gt;Summary!$B$3,"Current",IF(F2409&lt;=30,"0-30",IF(F2409&lt;=60,"31-60",IF(F2409&lt;=90,"61-90","90+"))))</f>
        <v/>
      </c>
    </row>
    <row r="2410">
      <c r="A2410" t="inlineStr">
        <is>
          <t>0009029686</t>
        </is>
      </c>
      <c r="B2410" t="inlineStr">
        <is>
          <t>0000100543</t>
        </is>
      </c>
      <c r="C2410" s="3" t="n">
        <v>46015</v>
      </c>
      <c r="D2410" s="3" t="n">
        <v>46075</v>
      </c>
      <c r="E2410" s="4" t="n">
        <v>192.34</v>
      </c>
      <c r="F2410">
        <f>Summary!$B$3-D2410</f>
        <v/>
      </c>
      <c r="G2410">
        <f>IF(D2410&gt;Summary!$B$3,"Current",IF(F2410&lt;=30,"0-30",IF(F2410&lt;=60,"31-60",IF(F2410&lt;=90,"61-90","90+"))))</f>
        <v/>
      </c>
    </row>
    <row r="2411">
      <c r="A2411" t="inlineStr">
        <is>
          <t>0009029687</t>
        </is>
      </c>
      <c r="B2411" t="inlineStr">
        <is>
          <t>0000100587</t>
        </is>
      </c>
      <c r="C2411" s="3" t="n">
        <v>46021</v>
      </c>
      <c r="D2411" s="3" t="n">
        <v>46081</v>
      </c>
      <c r="E2411" s="4" t="n">
        <v>177.19</v>
      </c>
      <c r="F2411">
        <f>Summary!$B$3-D2411</f>
        <v/>
      </c>
      <c r="G2411">
        <f>IF(D2411&gt;Summary!$B$3,"Current",IF(F2411&lt;=30,"0-30",IF(F2411&lt;=60,"31-60",IF(F2411&lt;=90,"61-90","90+"))))</f>
        <v/>
      </c>
    </row>
    <row r="2412">
      <c r="A2412" t="inlineStr">
        <is>
          <t>0009029688</t>
        </is>
      </c>
      <c r="B2412" t="inlineStr">
        <is>
          <t>0000100552</t>
        </is>
      </c>
      <c r="C2412" s="3" t="n">
        <v>46017</v>
      </c>
      <c r="D2412" s="3" t="n">
        <v>46047</v>
      </c>
      <c r="E2412" s="4" t="n">
        <v>2366.44</v>
      </c>
      <c r="F2412">
        <f>Summary!$B$3-D2412</f>
        <v/>
      </c>
      <c r="G2412">
        <f>IF(D2412&gt;Summary!$B$3,"Current",IF(F2412&lt;=30,"0-30",IF(F2412&lt;=60,"31-60",IF(F2412&lt;=90,"61-90","90+"))))</f>
        <v/>
      </c>
    </row>
    <row r="2413">
      <c r="A2413" t="inlineStr">
        <is>
          <t>0009029689</t>
        </is>
      </c>
      <c r="B2413" t="inlineStr">
        <is>
          <t>0000100016</t>
        </is>
      </c>
      <c r="C2413" s="3" t="n">
        <v>46015</v>
      </c>
      <c r="D2413" s="3" t="n">
        <v>46060</v>
      </c>
      <c r="E2413" s="4" t="n">
        <v>1786.64</v>
      </c>
      <c r="F2413">
        <f>Summary!$B$3-D2413</f>
        <v/>
      </c>
      <c r="G2413">
        <f>IF(D2413&gt;Summary!$B$3,"Current",IF(F2413&lt;=30,"0-30",IF(F2413&lt;=60,"31-60",IF(F2413&lt;=90,"61-90","90+"))))</f>
        <v/>
      </c>
    </row>
    <row r="2414">
      <c r="A2414" t="inlineStr">
        <is>
          <t>0009029690</t>
        </is>
      </c>
      <c r="B2414" t="inlineStr">
        <is>
          <t>0000100185</t>
        </is>
      </c>
      <c r="C2414" s="3" t="n">
        <v>46019</v>
      </c>
      <c r="D2414" s="3" t="n">
        <v>46049</v>
      </c>
      <c r="E2414" s="4" t="n">
        <v>307.84</v>
      </c>
      <c r="F2414">
        <f>Summary!$B$3-D2414</f>
        <v/>
      </c>
      <c r="G2414">
        <f>IF(D2414&gt;Summary!$B$3,"Current",IF(F2414&lt;=30,"0-30",IF(F2414&lt;=60,"31-60",IF(F2414&lt;=90,"61-90","90+"))))</f>
        <v/>
      </c>
    </row>
    <row r="2415">
      <c r="A2415" t="inlineStr">
        <is>
          <t>0009029691</t>
        </is>
      </c>
      <c r="B2415" t="inlineStr">
        <is>
          <t>0000100274</t>
        </is>
      </c>
      <c r="C2415" s="3" t="n">
        <v>46020</v>
      </c>
      <c r="D2415" s="3" t="n">
        <v>46065</v>
      </c>
      <c r="E2415" s="4" t="n">
        <v>556.91</v>
      </c>
      <c r="F2415">
        <f>Summary!$B$3-D2415</f>
        <v/>
      </c>
      <c r="G2415">
        <f>IF(D2415&gt;Summary!$B$3,"Current",IF(F2415&lt;=30,"0-30",IF(F2415&lt;=60,"31-60",IF(F2415&lt;=90,"61-90","90+"))))</f>
        <v/>
      </c>
    </row>
    <row r="2416">
      <c r="A2416" t="inlineStr">
        <is>
          <t>0009029692</t>
        </is>
      </c>
      <c r="B2416" t="inlineStr">
        <is>
          <t>0000100291</t>
        </is>
      </c>
      <c r="C2416" s="3" t="n">
        <v>46016</v>
      </c>
      <c r="D2416" s="3" t="n">
        <v>46076</v>
      </c>
      <c r="E2416" s="4" t="n">
        <v>2040.37</v>
      </c>
      <c r="F2416">
        <f>Summary!$B$3-D2416</f>
        <v/>
      </c>
      <c r="G2416">
        <f>IF(D2416&gt;Summary!$B$3,"Current",IF(F2416&lt;=30,"0-30",IF(F2416&lt;=60,"31-60",IF(F2416&lt;=90,"61-90","90+"))))</f>
        <v/>
      </c>
    </row>
    <row r="2417">
      <c r="A2417" t="inlineStr">
        <is>
          <t>0009029693</t>
        </is>
      </c>
      <c r="B2417" t="inlineStr">
        <is>
          <t>0000100288</t>
        </is>
      </c>
      <c r="C2417" s="3" t="n">
        <v>46021</v>
      </c>
      <c r="D2417" s="3" t="n">
        <v>46051</v>
      </c>
      <c r="E2417" s="4" t="n">
        <v>382.52</v>
      </c>
      <c r="F2417">
        <f>Summary!$B$3-D2417</f>
        <v/>
      </c>
      <c r="G2417">
        <f>IF(D2417&gt;Summary!$B$3,"Current",IF(F2417&lt;=30,"0-30",IF(F2417&lt;=60,"31-60",IF(F2417&lt;=90,"61-90","90+"))))</f>
        <v/>
      </c>
    </row>
    <row r="2418">
      <c r="A2418" t="inlineStr">
        <is>
          <t>0009029694</t>
        </is>
      </c>
      <c r="B2418" t="inlineStr">
        <is>
          <t>0000100037</t>
        </is>
      </c>
      <c r="C2418" s="3" t="n">
        <v>46020</v>
      </c>
      <c r="D2418" s="3" t="n">
        <v>46065</v>
      </c>
      <c r="E2418" s="4" t="n">
        <v>7624.29</v>
      </c>
      <c r="F2418">
        <f>Summary!$B$3-D2418</f>
        <v/>
      </c>
      <c r="G2418">
        <f>IF(D2418&gt;Summary!$B$3,"Current",IF(F2418&lt;=30,"0-30",IF(F2418&lt;=60,"31-60",IF(F2418&lt;=90,"61-90","90+"))))</f>
        <v/>
      </c>
    </row>
    <row r="2419">
      <c r="A2419" t="inlineStr">
        <is>
          <t>0009029695</t>
        </is>
      </c>
      <c r="B2419" t="inlineStr">
        <is>
          <t>0000100576</t>
        </is>
      </c>
      <c r="C2419" s="3" t="n">
        <v>46022</v>
      </c>
      <c r="D2419" s="3" t="n">
        <v>46052</v>
      </c>
      <c r="E2419" s="4" t="n">
        <v>951.27</v>
      </c>
      <c r="F2419">
        <f>Summary!$B$3-D2419</f>
        <v/>
      </c>
      <c r="G2419">
        <f>IF(D2419&gt;Summary!$B$3,"Current",IF(F2419&lt;=30,"0-30",IF(F2419&lt;=60,"31-60",IF(F2419&lt;=90,"61-90","90+"))))</f>
        <v/>
      </c>
    </row>
    <row r="2420">
      <c r="A2420" t="inlineStr">
        <is>
          <t>0009029696</t>
        </is>
      </c>
      <c r="B2420" t="inlineStr">
        <is>
          <t>0000100300</t>
        </is>
      </c>
      <c r="C2420" s="3" t="n">
        <v>46018</v>
      </c>
      <c r="D2420" s="3" t="n">
        <v>46048</v>
      </c>
      <c r="E2420" s="4" t="n">
        <v>2139.08</v>
      </c>
      <c r="F2420">
        <f>Summary!$B$3-D2420</f>
        <v/>
      </c>
      <c r="G2420">
        <f>IF(D2420&gt;Summary!$B$3,"Current",IF(F2420&lt;=30,"0-30",IF(F2420&lt;=60,"31-60",IF(F2420&lt;=90,"61-90","90+"))))</f>
        <v/>
      </c>
    </row>
    <row r="2421">
      <c r="A2421" t="inlineStr">
        <is>
          <t>0009029697</t>
        </is>
      </c>
      <c r="B2421" t="inlineStr">
        <is>
          <t>0000100069</t>
        </is>
      </c>
      <c r="C2421" s="3" t="n">
        <v>46017</v>
      </c>
      <c r="D2421" s="3" t="n">
        <v>46047</v>
      </c>
      <c r="E2421" s="4" t="n">
        <v>568.3200000000001</v>
      </c>
      <c r="F2421">
        <f>Summary!$B$3-D2421</f>
        <v/>
      </c>
      <c r="G2421">
        <f>IF(D2421&gt;Summary!$B$3,"Current",IF(F2421&lt;=30,"0-30",IF(F2421&lt;=60,"31-60",IF(F2421&lt;=90,"61-90","90+"))))</f>
        <v/>
      </c>
    </row>
    <row r="2422">
      <c r="A2422" t="inlineStr">
        <is>
          <t>0009029698</t>
        </is>
      </c>
      <c r="B2422" t="inlineStr">
        <is>
          <t>0000100166</t>
        </is>
      </c>
      <c r="C2422" s="3" t="n">
        <v>46016</v>
      </c>
      <c r="D2422" s="3" t="n">
        <v>46046</v>
      </c>
      <c r="E2422" s="4" t="n">
        <v>1433.7</v>
      </c>
      <c r="F2422">
        <f>Summary!$B$3-D2422</f>
        <v/>
      </c>
      <c r="G2422">
        <f>IF(D2422&gt;Summary!$B$3,"Current",IF(F2422&lt;=30,"0-30",IF(F2422&lt;=60,"31-60",IF(F2422&lt;=90,"61-90","90+"))))</f>
        <v/>
      </c>
    </row>
    <row r="2423">
      <c r="A2423" t="inlineStr">
        <is>
          <t>0009029699</t>
        </is>
      </c>
      <c r="B2423" t="inlineStr">
        <is>
          <t>0000100089</t>
        </is>
      </c>
      <c r="C2423" s="3" t="n">
        <v>46017</v>
      </c>
      <c r="D2423" s="3" t="n">
        <v>46062</v>
      </c>
      <c r="E2423" s="4" t="n">
        <v>4363.86</v>
      </c>
      <c r="F2423">
        <f>Summary!$B$3-D2423</f>
        <v/>
      </c>
      <c r="G2423">
        <f>IF(D2423&gt;Summary!$B$3,"Current",IF(F2423&lt;=30,"0-30",IF(F2423&lt;=60,"31-60",IF(F2423&lt;=90,"61-90","90+"))))</f>
        <v/>
      </c>
    </row>
    <row r="2424">
      <c r="A2424" t="inlineStr">
        <is>
          <t>0009029700</t>
        </is>
      </c>
      <c r="B2424" t="inlineStr">
        <is>
          <t>0000100227</t>
        </is>
      </c>
      <c r="C2424" s="3" t="n">
        <v>46014</v>
      </c>
      <c r="D2424" s="3" t="n">
        <v>46044</v>
      </c>
      <c r="E2424" s="4" t="n">
        <v>771.16</v>
      </c>
      <c r="F2424">
        <f>Summary!$B$3-D2424</f>
        <v/>
      </c>
      <c r="G2424">
        <f>IF(D2424&gt;Summary!$B$3,"Current",IF(F2424&lt;=30,"0-30",IF(F2424&lt;=60,"31-60",IF(F2424&lt;=90,"61-90","90+"))))</f>
        <v/>
      </c>
    </row>
    <row r="2425">
      <c r="A2425" t="inlineStr">
        <is>
          <t>0009029701</t>
        </is>
      </c>
      <c r="B2425" t="inlineStr">
        <is>
          <t>0000100450</t>
        </is>
      </c>
      <c r="C2425" s="3" t="n">
        <v>46019</v>
      </c>
      <c r="D2425" s="3" t="n">
        <v>46064</v>
      </c>
      <c r="E2425" s="4" t="n">
        <v>639.37</v>
      </c>
      <c r="F2425">
        <f>Summary!$B$3-D2425</f>
        <v/>
      </c>
      <c r="G2425">
        <f>IF(D2425&gt;Summary!$B$3,"Current",IF(F2425&lt;=30,"0-30",IF(F2425&lt;=60,"31-60",IF(F2425&lt;=90,"61-90","90+"))))</f>
        <v/>
      </c>
    </row>
    <row r="2426">
      <c r="A2426" t="inlineStr">
        <is>
          <t>0009029702</t>
        </is>
      </c>
      <c r="B2426" t="inlineStr">
        <is>
          <t>0000100393</t>
        </is>
      </c>
      <c r="C2426" s="3" t="n">
        <v>46015</v>
      </c>
      <c r="D2426" s="3" t="n">
        <v>46045</v>
      </c>
      <c r="E2426" s="4" t="n">
        <v>92</v>
      </c>
      <c r="F2426">
        <f>Summary!$B$3-D2426</f>
        <v/>
      </c>
      <c r="G2426">
        <f>IF(D2426&gt;Summary!$B$3,"Current",IF(F2426&lt;=30,"0-30",IF(F2426&lt;=60,"31-60",IF(F2426&lt;=90,"61-90","90+"))))</f>
        <v/>
      </c>
    </row>
    <row r="2427">
      <c r="A2427" t="inlineStr">
        <is>
          <t>0009029703</t>
        </is>
      </c>
      <c r="B2427" t="inlineStr">
        <is>
          <t>0000100219</t>
        </is>
      </c>
      <c r="C2427" s="3" t="n">
        <v>46019</v>
      </c>
      <c r="D2427" s="3" t="n">
        <v>46049</v>
      </c>
      <c r="E2427" s="4" t="n">
        <v>460.7</v>
      </c>
      <c r="F2427">
        <f>Summary!$B$3-D2427</f>
        <v/>
      </c>
      <c r="G2427">
        <f>IF(D2427&gt;Summary!$B$3,"Current",IF(F2427&lt;=30,"0-30",IF(F2427&lt;=60,"31-60",IF(F2427&lt;=90,"61-90","90+"))))</f>
        <v/>
      </c>
    </row>
    <row r="2428">
      <c r="A2428" t="inlineStr">
        <is>
          <t>0009029704</t>
        </is>
      </c>
      <c r="B2428" t="inlineStr">
        <is>
          <t>0000100348</t>
        </is>
      </c>
      <c r="C2428" s="3" t="n">
        <v>46017</v>
      </c>
      <c r="D2428" s="3" t="n">
        <v>46077</v>
      </c>
      <c r="E2428" s="4" t="n">
        <v>293.82</v>
      </c>
      <c r="F2428">
        <f>Summary!$B$3-D2428</f>
        <v/>
      </c>
      <c r="G2428">
        <f>IF(D2428&gt;Summary!$B$3,"Current",IF(F2428&lt;=30,"0-30",IF(F2428&lt;=60,"31-60",IF(F2428&lt;=90,"61-90","90+"))))</f>
        <v/>
      </c>
    </row>
    <row r="2429">
      <c r="A2429" t="inlineStr">
        <is>
          <t>0009029705</t>
        </is>
      </c>
      <c r="B2429" t="inlineStr">
        <is>
          <t>0000100111</t>
        </is>
      </c>
      <c r="C2429" s="3" t="n">
        <v>46016</v>
      </c>
      <c r="D2429" s="3" t="n">
        <v>46061</v>
      </c>
      <c r="E2429" s="4" t="n">
        <v>797.37</v>
      </c>
      <c r="F2429">
        <f>Summary!$B$3-D2429</f>
        <v/>
      </c>
      <c r="G2429">
        <f>IF(D2429&gt;Summary!$B$3,"Current",IF(F2429&lt;=30,"0-30",IF(F2429&lt;=60,"31-60",IF(F2429&lt;=90,"61-90","90+"))))</f>
        <v/>
      </c>
    </row>
    <row r="2430">
      <c r="A2430" t="inlineStr">
        <is>
          <t>0009029706</t>
        </is>
      </c>
      <c r="B2430" t="inlineStr">
        <is>
          <t>0000100543</t>
        </is>
      </c>
      <c r="C2430" s="3" t="n">
        <v>46015</v>
      </c>
      <c r="D2430" s="3" t="n">
        <v>46075</v>
      </c>
      <c r="E2430" s="4" t="n">
        <v>77.59999999999999</v>
      </c>
      <c r="F2430">
        <f>Summary!$B$3-D2430</f>
        <v/>
      </c>
      <c r="G2430">
        <f>IF(D2430&gt;Summary!$B$3,"Current",IF(F2430&lt;=30,"0-30",IF(F2430&lt;=60,"31-60",IF(F2430&lt;=90,"61-90","90+"))))</f>
        <v/>
      </c>
    </row>
    <row r="2431">
      <c r="A2431" t="inlineStr">
        <is>
          <t>0009029707</t>
        </is>
      </c>
      <c r="B2431" t="inlineStr">
        <is>
          <t>0000100128</t>
        </is>
      </c>
      <c r="C2431" s="3" t="n">
        <v>46021</v>
      </c>
      <c r="D2431" s="3" t="n">
        <v>46051</v>
      </c>
      <c r="E2431" s="4" t="n">
        <v>726.1</v>
      </c>
      <c r="F2431">
        <f>Summary!$B$3-D2431</f>
        <v/>
      </c>
      <c r="G2431">
        <f>IF(D2431&gt;Summary!$B$3,"Current",IF(F2431&lt;=30,"0-30",IF(F2431&lt;=60,"31-60",IF(F2431&lt;=90,"61-90","90+"))))</f>
        <v/>
      </c>
    </row>
    <row r="2432">
      <c r="A2432" t="inlineStr">
        <is>
          <t>0009029708</t>
        </is>
      </c>
      <c r="B2432" t="inlineStr">
        <is>
          <t>0000100383</t>
        </is>
      </c>
      <c r="C2432" s="3" t="n">
        <v>46014</v>
      </c>
      <c r="D2432" s="3" t="n">
        <v>46044</v>
      </c>
      <c r="E2432" s="4" t="n">
        <v>1923.95</v>
      </c>
      <c r="F2432">
        <f>Summary!$B$3-D2432</f>
        <v/>
      </c>
      <c r="G2432">
        <f>IF(D2432&gt;Summary!$B$3,"Current",IF(F2432&lt;=30,"0-30",IF(F2432&lt;=60,"31-60",IF(F2432&lt;=90,"61-90","90+"))))</f>
        <v/>
      </c>
    </row>
    <row r="2433">
      <c r="A2433" t="inlineStr">
        <is>
          <t>0009029709</t>
        </is>
      </c>
      <c r="B2433" t="inlineStr">
        <is>
          <t>0000100008</t>
        </is>
      </c>
      <c r="C2433" s="3" t="n">
        <v>46017</v>
      </c>
      <c r="D2433" s="3" t="n">
        <v>46062</v>
      </c>
      <c r="E2433" s="4" t="n">
        <v>626.74</v>
      </c>
      <c r="F2433">
        <f>Summary!$B$3-D2433</f>
        <v/>
      </c>
      <c r="G2433">
        <f>IF(D2433&gt;Summary!$B$3,"Current",IF(F2433&lt;=30,"0-30",IF(F2433&lt;=60,"31-60",IF(F2433&lt;=90,"61-90","90+"))))</f>
        <v/>
      </c>
    </row>
    <row r="2434">
      <c r="A2434" t="inlineStr">
        <is>
          <t>0009029710</t>
        </is>
      </c>
      <c r="B2434" t="inlineStr">
        <is>
          <t>0000100207</t>
        </is>
      </c>
      <c r="C2434" s="3" t="n">
        <v>46020</v>
      </c>
      <c r="D2434" s="3" t="n">
        <v>46050</v>
      </c>
      <c r="E2434" s="4" t="n">
        <v>249.52</v>
      </c>
      <c r="F2434">
        <f>Summary!$B$3-D2434</f>
        <v/>
      </c>
      <c r="G2434">
        <f>IF(D2434&gt;Summary!$B$3,"Current",IF(F2434&lt;=30,"0-30",IF(F2434&lt;=60,"31-60",IF(F2434&lt;=90,"61-90","90+"))))</f>
        <v/>
      </c>
    </row>
    <row r="2435">
      <c r="A2435" t="inlineStr">
        <is>
          <t>0009029711</t>
        </is>
      </c>
      <c r="B2435" t="inlineStr">
        <is>
          <t>0000100106</t>
        </is>
      </c>
      <c r="C2435" s="3" t="n">
        <v>46020</v>
      </c>
      <c r="D2435" s="3" t="n">
        <v>46065</v>
      </c>
      <c r="E2435" s="4" t="n">
        <v>438.56</v>
      </c>
      <c r="F2435">
        <f>Summary!$B$3-D2435</f>
        <v/>
      </c>
      <c r="G2435">
        <f>IF(D2435&gt;Summary!$B$3,"Current",IF(F2435&lt;=30,"0-30",IF(F2435&lt;=60,"31-60",IF(F2435&lt;=90,"61-90","90+"))))</f>
        <v/>
      </c>
    </row>
    <row r="2436">
      <c r="A2436" t="inlineStr">
        <is>
          <t>0009029713</t>
        </is>
      </c>
      <c r="B2436" t="inlineStr">
        <is>
          <t>0000100465</t>
        </is>
      </c>
      <c r="C2436" s="3" t="n">
        <v>46018</v>
      </c>
      <c r="D2436" s="3" t="n">
        <v>46078</v>
      </c>
      <c r="E2436" s="4" t="n">
        <v>2262.32</v>
      </c>
      <c r="F2436">
        <f>Summary!$B$3-D2436</f>
        <v/>
      </c>
      <c r="G2436">
        <f>IF(D2436&gt;Summary!$B$3,"Current",IF(F2436&lt;=30,"0-30",IF(F2436&lt;=60,"31-60",IF(F2436&lt;=90,"61-90","90+"))))</f>
        <v/>
      </c>
    </row>
    <row r="2437">
      <c r="A2437" t="inlineStr">
        <is>
          <t>0009029714</t>
        </is>
      </c>
      <c r="B2437" t="inlineStr">
        <is>
          <t>0000100089</t>
        </is>
      </c>
      <c r="C2437" s="3" t="n">
        <v>46014</v>
      </c>
      <c r="D2437" s="3" t="n">
        <v>46059</v>
      </c>
      <c r="E2437" s="4" t="n">
        <v>160.38</v>
      </c>
      <c r="F2437">
        <f>Summary!$B$3-D2437</f>
        <v/>
      </c>
      <c r="G2437">
        <f>IF(D2437&gt;Summary!$B$3,"Current",IF(F2437&lt;=30,"0-30",IF(F2437&lt;=60,"31-60",IF(F2437&lt;=90,"61-90","90+"))))</f>
        <v/>
      </c>
    </row>
    <row r="2438">
      <c r="A2438" t="inlineStr">
        <is>
          <t>0009029715</t>
        </is>
      </c>
      <c r="B2438" t="inlineStr">
        <is>
          <t>0000100103</t>
        </is>
      </c>
      <c r="C2438" s="3" t="n">
        <v>46014</v>
      </c>
      <c r="D2438" s="3" t="n">
        <v>46074</v>
      </c>
      <c r="E2438" s="4" t="n">
        <v>884.9299999999999</v>
      </c>
      <c r="F2438">
        <f>Summary!$B$3-D2438</f>
        <v/>
      </c>
      <c r="G2438">
        <f>IF(D2438&gt;Summary!$B$3,"Current",IF(F2438&lt;=30,"0-30",IF(F2438&lt;=60,"31-60",IF(F2438&lt;=90,"61-90","90+"))))</f>
        <v/>
      </c>
    </row>
    <row r="2439">
      <c r="A2439" t="inlineStr">
        <is>
          <t>0009029716</t>
        </is>
      </c>
      <c r="B2439" t="inlineStr">
        <is>
          <t>0000100125</t>
        </is>
      </c>
      <c r="C2439" s="3" t="n">
        <v>46015</v>
      </c>
      <c r="D2439" s="3" t="n">
        <v>46045</v>
      </c>
      <c r="E2439" s="4" t="n">
        <v>2463.36</v>
      </c>
      <c r="F2439">
        <f>Summary!$B$3-D2439</f>
        <v/>
      </c>
      <c r="G2439">
        <f>IF(D2439&gt;Summary!$B$3,"Current",IF(F2439&lt;=30,"0-30",IF(F2439&lt;=60,"31-60",IF(F2439&lt;=90,"61-90","90+"))))</f>
        <v/>
      </c>
    </row>
    <row r="2440">
      <c r="A2440" t="inlineStr">
        <is>
          <t>0009029718</t>
        </is>
      </c>
      <c r="B2440" t="inlineStr">
        <is>
          <t>0000100434</t>
        </is>
      </c>
      <c r="C2440" s="3" t="n">
        <v>46015</v>
      </c>
      <c r="D2440" s="3" t="n">
        <v>46045</v>
      </c>
      <c r="E2440" s="4" t="n">
        <v>407.21</v>
      </c>
      <c r="F2440">
        <f>Summary!$B$3-D2440</f>
        <v/>
      </c>
      <c r="G2440">
        <f>IF(D2440&gt;Summary!$B$3,"Current",IF(F2440&lt;=30,"0-30",IF(F2440&lt;=60,"31-60",IF(F2440&lt;=90,"61-90","90+"))))</f>
        <v/>
      </c>
    </row>
    <row r="2441">
      <c r="A2441" t="inlineStr">
        <is>
          <t>0009029719</t>
        </is>
      </c>
      <c r="B2441" t="inlineStr">
        <is>
          <t>0000100207</t>
        </is>
      </c>
      <c r="C2441" s="3" t="n">
        <v>46016</v>
      </c>
      <c r="D2441" s="3" t="n">
        <v>46046</v>
      </c>
      <c r="E2441" s="4" t="n">
        <v>1251.5</v>
      </c>
      <c r="F2441">
        <f>Summary!$B$3-D2441</f>
        <v/>
      </c>
      <c r="G2441">
        <f>IF(D2441&gt;Summary!$B$3,"Current",IF(F2441&lt;=30,"0-30",IF(F2441&lt;=60,"31-60",IF(F2441&lt;=90,"61-90","90+"))))</f>
        <v/>
      </c>
    </row>
    <row r="2442">
      <c r="A2442" t="inlineStr">
        <is>
          <t>0009029720</t>
        </is>
      </c>
      <c r="B2442" t="inlineStr">
        <is>
          <t>0000100149</t>
        </is>
      </c>
      <c r="C2442" s="3" t="n">
        <v>46018</v>
      </c>
      <c r="D2442" s="3" t="n">
        <v>46078</v>
      </c>
      <c r="E2442" s="4" t="n">
        <v>4298.05</v>
      </c>
      <c r="F2442">
        <f>Summary!$B$3-D2442</f>
        <v/>
      </c>
      <c r="G2442">
        <f>IF(D2442&gt;Summary!$B$3,"Current",IF(F2442&lt;=30,"0-30",IF(F2442&lt;=60,"31-60",IF(F2442&lt;=90,"61-90","90+"))))</f>
        <v/>
      </c>
    </row>
    <row r="2443">
      <c r="A2443" t="inlineStr">
        <is>
          <t>0009029721</t>
        </is>
      </c>
      <c r="B2443" t="inlineStr">
        <is>
          <t>0000100444</t>
        </is>
      </c>
      <c r="C2443" s="3" t="n">
        <v>46015</v>
      </c>
      <c r="D2443" s="3" t="n">
        <v>46045</v>
      </c>
      <c r="E2443" s="4" t="n">
        <v>743.3099999999999</v>
      </c>
      <c r="F2443">
        <f>Summary!$B$3-D2443</f>
        <v/>
      </c>
      <c r="G2443">
        <f>IF(D2443&gt;Summary!$B$3,"Current",IF(F2443&lt;=30,"0-30",IF(F2443&lt;=60,"31-60",IF(F2443&lt;=90,"61-90","90+"))))</f>
        <v/>
      </c>
    </row>
    <row r="2444">
      <c r="A2444" t="inlineStr">
        <is>
          <t>0009029722</t>
        </is>
      </c>
      <c r="B2444" t="inlineStr">
        <is>
          <t>0000100474</t>
        </is>
      </c>
      <c r="C2444" s="3" t="n">
        <v>46019</v>
      </c>
      <c r="D2444" s="3" t="n">
        <v>46079</v>
      </c>
      <c r="E2444" s="4" t="n">
        <v>192.3</v>
      </c>
      <c r="F2444">
        <f>Summary!$B$3-D2444</f>
        <v/>
      </c>
      <c r="G2444">
        <f>IF(D2444&gt;Summary!$B$3,"Current",IF(F2444&lt;=30,"0-30",IF(F2444&lt;=60,"31-60",IF(F2444&lt;=90,"61-90","90+"))))</f>
        <v/>
      </c>
    </row>
    <row r="2445">
      <c r="A2445" t="inlineStr">
        <is>
          <t>0009029723</t>
        </is>
      </c>
      <c r="B2445" t="inlineStr">
        <is>
          <t>0000100074</t>
        </is>
      </c>
      <c r="C2445" s="3" t="n">
        <v>46018</v>
      </c>
      <c r="D2445" s="3" t="n">
        <v>46063</v>
      </c>
      <c r="E2445" s="4" t="n">
        <v>649.0700000000001</v>
      </c>
      <c r="F2445">
        <f>Summary!$B$3-D2445</f>
        <v/>
      </c>
      <c r="G2445">
        <f>IF(D2445&gt;Summary!$B$3,"Current",IF(F2445&lt;=30,"0-30",IF(F2445&lt;=60,"31-60",IF(F2445&lt;=90,"61-90","90+"))))</f>
        <v/>
      </c>
    </row>
    <row r="2446">
      <c r="A2446" t="inlineStr">
        <is>
          <t>0009029724</t>
        </is>
      </c>
      <c r="B2446" t="inlineStr">
        <is>
          <t>0000100357</t>
        </is>
      </c>
      <c r="C2446" s="3" t="n">
        <v>46020</v>
      </c>
      <c r="D2446" s="3" t="n">
        <v>46065</v>
      </c>
      <c r="E2446" s="4" t="n">
        <v>86.58</v>
      </c>
      <c r="F2446">
        <f>Summary!$B$3-D2446</f>
        <v/>
      </c>
      <c r="G2446">
        <f>IF(D2446&gt;Summary!$B$3,"Current",IF(F2446&lt;=30,"0-30",IF(F2446&lt;=60,"31-60",IF(F2446&lt;=90,"61-90","90+"))))</f>
        <v/>
      </c>
    </row>
    <row r="2447">
      <c r="A2447" t="inlineStr">
        <is>
          <t>0009029725</t>
        </is>
      </c>
      <c r="B2447" t="inlineStr">
        <is>
          <t>0000100434</t>
        </is>
      </c>
      <c r="C2447" s="3" t="n">
        <v>46022</v>
      </c>
      <c r="D2447" s="3" t="n">
        <v>46052</v>
      </c>
      <c r="E2447" s="4" t="n">
        <v>569.21</v>
      </c>
      <c r="F2447">
        <f>Summary!$B$3-D2447</f>
        <v/>
      </c>
      <c r="G2447">
        <f>IF(D2447&gt;Summary!$B$3,"Current",IF(F2447&lt;=30,"0-30",IF(F2447&lt;=60,"31-60",IF(F2447&lt;=90,"61-90","90+"))))</f>
        <v/>
      </c>
    </row>
    <row r="2448">
      <c r="A2448" t="inlineStr">
        <is>
          <t>0009029726</t>
        </is>
      </c>
      <c r="B2448" t="inlineStr">
        <is>
          <t>0000100409</t>
        </is>
      </c>
      <c r="C2448" s="3" t="n">
        <v>46017</v>
      </c>
      <c r="D2448" s="3" t="n">
        <v>46047</v>
      </c>
      <c r="E2448" s="4" t="n">
        <v>2973.26</v>
      </c>
      <c r="F2448">
        <f>Summary!$B$3-D2448</f>
        <v/>
      </c>
      <c r="G2448">
        <f>IF(D2448&gt;Summary!$B$3,"Current",IF(F2448&lt;=30,"0-30",IF(F2448&lt;=60,"31-60",IF(F2448&lt;=90,"61-90","90+"))))</f>
        <v/>
      </c>
    </row>
    <row r="2449">
      <c r="A2449" t="inlineStr">
        <is>
          <t>0009029727</t>
        </is>
      </c>
      <c r="B2449" t="inlineStr">
        <is>
          <t>0000100453</t>
        </is>
      </c>
      <c r="C2449" s="3" t="n">
        <v>46017</v>
      </c>
      <c r="D2449" s="3" t="n">
        <v>46047</v>
      </c>
      <c r="E2449" s="4" t="n">
        <v>4846.38</v>
      </c>
      <c r="F2449">
        <f>Summary!$B$3-D2449</f>
        <v/>
      </c>
      <c r="G2449">
        <f>IF(D2449&gt;Summary!$B$3,"Current",IF(F2449&lt;=30,"0-30",IF(F2449&lt;=60,"31-60",IF(F2449&lt;=90,"61-90","90+"))))</f>
        <v/>
      </c>
    </row>
    <row r="2450">
      <c r="A2450" t="inlineStr">
        <is>
          <t>0009029728</t>
        </is>
      </c>
      <c r="B2450" t="inlineStr">
        <is>
          <t>0000100450</t>
        </is>
      </c>
      <c r="C2450" s="3" t="n">
        <v>46020</v>
      </c>
      <c r="D2450" s="3" t="n">
        <v>46065</v>
      </c>
      <c r="E2450" s="4" t="n">
        <v>41.56</v>
      </c>
      <c r="F2450">
        <f>Summary!$B$3-D2450</f>
        <v/>
      </c>
      <c r="G2450">
        <f>IF(D2450&gt;Summary!$B$3,"Current",IF(F2450&lt;=30,"0-30",IF(F2450&lt;=60,"31-60",IF(F2450&lt;=90,"61-90","90+"))))</f>
        <v/>
      </c>
    </row>
    <row r="2451">
      <c r="A2451" t="inlineStr">
        <is>
          <t>0009029729</t>
        </is>
      </c>
      <c r="B2451" t="inlineStr">
        <is>
          <t>0000100521</t>
        </is>
      </c>
      <c r="C2451" s="3" t="n">
        <v>46021</v>
      </c>
      <c r="D2451" s="3" t="n">
        <v>46051</v>
      </c>
      <c r="E2451" s="4" t="n">
        <v>1090.06</v>
      </c>
      <c r="F2451">
        <f>Summary!$B$3-D2451</f>
        <v/>
      </c>
      <c r="G2451">
        <f>IF(D2451&gt;Summary!$B$3,"Current",IF(F2451&lt;=30,"0-30",IF(F2451&lt;=60,"31-60",IF(F2451&lt;=90,"61-90","90+"))))</f>
        <v/>
      </c>
    </row>
    <row r="2452">
      <c r="A2452" t="inlineStr">
        <is>
          <t>0009029730</t>
        </is>
      </c>
      <c r="B2452" t="inlineStr">
        <is>
          <t>0000100269</t>
        </is>
      </c>
      <c r="C2452" s="3" t="n">
        <v>46019</v>
      </c>
      <c r="D2452" s="3" t="n">
        <v>46049</v>
      </c>
      <c r="E2452" s="4" t="n">
        <v>2235.12</v>
      </c>
      <c r="F2452">
        <f>Summary!$B$3-D2452</f>
        <v/>
      </c>
      <c r="G2452">
        <f>IF(D2452&gt;Summary!$B$3,"Current",IF(F2452&lt;=30,"0-30",IF(F2452&lt;=60,"31-60",IF(F2452&lt;=90,"61-90","90+"))))</f>
        <v/>
      </c>
    </row>
    <row r="2453">
      <c r="A2453" t="inlineStr">
        <is>
          <t>0009029731</t>
        </is>
      </c>
      <c r="B2453" t="inlineStr">
        <is>
          <t>0000100563</t>
        </is>
      </c>
      <c r="C2453" s="3" t="n">
        <v>46019</v>
      </c>
      <c r="D2453" s="3" t="n">
        <v>46049</v>
      </c>
      <c r="E2453" s="4" t="n">
        <v>1299.22</v>
      </c>
      <c r="F2453">
        <f>Summary!$B$3-D2453</f>
        <v/>
      </c>
      <c r="G2453">
        <f>IF(D2453&gt;Summary!$B$3,"Current",IF(F2453&lt;=30,"0-30",IF(F2453&lt;=60,"31-60",IF(F2453&lt;=90,"61-90","90+"))))</f>
        <v/>
      </c>
    </row>
    <row r="2454">
      <c r="A2454" t="inlineStr">
        <is>
          <t>0009029732</t>
        </is>
      </c>
      <c r="B2454" t="inlineStr">
        <is>
          <t>0000100095</t>
        </is>
      </c>
      <c r="C2454" s="3" t="n">
        <v>46022</v>
      </c>
      <c r="D2454" s="3" t="n">
        <v>46067</v>
      </c>
      <c r="E2454" s="4" t="n">
        <v>124.26</v>
      </c>
      <c r="F2454">
        <f>Summary!$B$3-D2454</f>
        <v/>
      </c>
      <c r="G2454">
        <f>IF(D2454&gt;Summary!$B$3,"Current",IF(F2454&lt;=30,"0-30",IF(F2454&lt;=60,"31-60",IF(F2454&lt;=90,"61-90","90+"))))</f>
        <v/>
      </c>
    </row>
    <row r="2455">
      <c r="A2455" t="inlineStr">
        <is>
          <t>0009029733</t>
        </is>
      </c>
      <c r="B2455" t="inlineStr">
        <is>
          <t>0000100441</t>
        </is>
      </c>
      <c r="C2455" s="3" t="n">
        <v>46020</v>
      </c>
      <c r="D2455" s="3" t="n">
        <v>46065</v>
      </c>
      <c r="E2455" s="4" t="n">
        <v>1151.45</v>
      </c>
      <c r="F2455">
        <f>Summary!$B$3-D2455</f>
        <v/>
      </c>
      <c r="G2455">
        <f>IF(D2455&gt;Summary!$B$3,"Current",IF(F2455&lt;=30,"0-30",IF(F2455&lt;=60,"31-60",IF(F2455&lt;=90,"61-90","90+"))))</f>
        <v/>
      </c>
    </row>
    <row r="2456">
      <c r="A2456" t="inlineStr">
        <is>
          <t>0009029734</t>
        </is>
      </c>
      <c r="B2456" t="inlineStr">
        <is>
          <t>0000100490</t>
        </is>
      </c>
      <c r="C2456" s="3" t="n">
        <v>46019</v>
      </c>
      <c r="D2456" s="3" t="n">
        <v>46049</v>
      </c>
      <c r="E2456" s="4" t="n">
        <v>669.42</v>
      </c>
      <c r="F2456">
        <f>Summary!$B$3-D2456</f>
        <v/>
      </c>
      <c r="G2456">
        <f>IF(D2456&gt;Summary!$B$3,"Current",IF(F2456&lt;=30,"0-30",IF(F2456&lt;=60,"31-60",IF(F2456&lt;=90,"61-90","90+"))))</f>
        <v/>
      </c>
    </row>
    <row r="2457">
      <c r="A2457" t="inlineStr">
        <is>
          <t>0009029735</t>
        </is>
      </c>
      <c r="B2457" t="inlineStr">
        <is>
          <t>0000100344</t>
        </is>
      </c>
      <c r="C2457" s="3" t="n">
        <v>46020</v>
      </c>
      <c r="D2457" s="3" t="n">
        <v>46050</v>
      </c>
      <c r="E2457" s="4" t="n">
        <v>1155.49</v>
      </c>
      <c r="F2457">
        <f>Summary!$B$3-D2457</f>
        <v/>
      </c>
      <c r="G2457">
        <f>IF(D2457&gt;Summary!$B$3,"Current",IF(F2457&lt;=30,"0-30",IF(F2457&lt;=60,"31-60",IF(F2457&lt;=90,"61-90","90+"))))</f>
        <v/>
      </c>
    </row>
    <row r="2458">
      <c r="A2458" t="inlineStr">
        <is>
          <t>0009029736</t>
        </is>
      </c>
      <c r="B2458" t="inlineStr">
        <is>
          <t>0000100254</t>
        </is>
      </c>
      <c r="C2458" s="3" t="n">
        <v>46018</v>
      </c>
      <c r="D2458" s="3" t="n">
        <v>46048</v>
      </c>
      <c r="E2458" s="4" t="n">
        <v>1002.45</v>
      </c>
      <c r="F2458">
        <f>Summary!$B$3-D2458</f>
        <v/>
      </c>
      <c r="G2458">
        <f>IF(D2458&gt;Summary!$B$3,"Current",IF(F2458&lt;=30,"0-30",IF(F2458&lt;=60,"31-60",IF(F2458&lt;=90,"61-90","90+"))))</f>
        <v/>
      </c>
    </row>
    <row r="2459">
      <c r="A2459" t="inlineStr">
        <is>
          <t>0009029737</t>
        </is>
      </c>
      <c r="B2459" t="inlineStr">
        <is>
          <t>0000100084</t>
        </is>
      </c>
      <c r="C2459" s="3" t="n">
        <v>46022</v>
      </c>
      <c r="D2459" s="3" t="n">
        <v>46067</v>
      </c>
      <c r="E2459" s="4" t="n">
        <v>2438.06</v>
      </c>
      <c r="F2459">
        <f>Summary!$B$3-D2459</f>
        <v/>
      </c>
      <c r="G2459">
        <f>IF(D2459&gt;Summary!$B$3,"Current",IF(F2459&lt;=30,"0-30",IF(F2459&lt;=60,"31-60",IF(F2459&lt;=90,"61-90","90+"))))</f>
        <v/>
      </c>
    </row>
    <row r="2460">
      <c r="A2460" t="inlineStr">
        <is>
          <t>0009029738</t>
        </is>
      </c>
      <c r="B2460" t="inlineStr">
        <is>
          <t>0000100357</t>
        </is>
      </c>
      <c r="C2460" s="3" t="n">
        <v>46019</v>
      </c>
      <c r="D2460" s="3" t="n">
        <v>46064</v>
      </c>
      <c r="E2460" s="4" t="n">
        <v>287.45</v>
      </c>
      <c r="F2460">
        <f>Summary!$B$3-D2460</f>
        <v/>
      </c>
      <c r="G2460">
        <f>IF(D2460&gt;Summary!$B$3,"Current",IF(F2460&lt;=30,"0-30",IF(F2460&lt;=60,"31-60",IF(F2460&lt;=90,"61-90","90+"))))</f>
        <v/>
      </c>
    </row>
    <row r="2461">
      <c r="A2461" t="inlineStr">
        <is>
          <t>0009029739</t>
        </is>
      </c>
      <c r="B2461" t="inlineStr">
        <is>
          <t>0000100450</t>
        </is>
      </c>
      <c r="C2461" s="3" t="n">
        <v>46022</v>
      </c>
      <c r="D2461" s="3" t="n">
        <v>46067</v>
      </c>
      <c r="E2461" s="4" t="n">
        <v>513.9</v>
      </c>
      <c r="F2461">
        <f>Summary!$B$3-D2461</f>
        <v/>
      </c>
      <c r="G2461">
        <f>IF(D2461&gt;Summary!$B$3,"Current",IF(F2461&lt;=30,"0-30",IF(F2461&lt;=60,"31-60",IF(F2461&lt;=90,"61-90","90+"))))</f>
        <v/>
      </c>
    </row>
    <row r="2462">
      <c r="A2462" t="inlineStr">
        <is>
          <t>0009029740</t>
        </is>
      </c>
      <c r="B2462" t="inlineStr">
        <is>
          <t>0000100285</t>
        </is>
      </c>
      <c r="C2462" s="3" t="n">
        <v>46019</v>
      </c>
      <c r="D2462" s="3" t="n">
        <v>46049</v>
      </c>
      <c r="E2462" s="4" t="n">
        <v>908.04</v>
      </c>
      <c r="F2462">
        <f>Summary!$B$3-D2462</f>
        <v/>
      </c>
      <c r="G2462">
        <f>IF(D2462&gt;Summary!$B$3,"Current",IF(F2462&lt;=30,"0-30",IF(F2462&lt;=60,"31-60",IF(F2462&lt;=90,"61-90","90+"))))</f>
        <v/>
      </c>
    </row>
    <row r="2463">
      <c r="A2463" t="inlineStr">
        <is>
          <t>0009029741</t>
        </is>
      </c>
      <c r="B2463" t="inlineStr">
        <is>
          <t>0000100345</t>
        </is>
      </c>
      <c r="C2463" s="3" t="n">
        <v>46022</v>
      </c>
      <c r="D2463" s="3" t="n">
        <v>46052</v>
      </c>
      <c r="E2463" s="4" t="n">
        <v>199.3</v>
      </c>
      <c r="F2463">
        <f>Summary!$B$3-D2463</f>
        <v/>
      </c>
      <c r="G2463">
        <f>IF(D2463&gt;Summary!$B$3,"Current",IF(F2463&lt;=30,"0-30",IF(F2463&lt;=60,"31-60",IF(F2463&lt;=90,"61-90","90+"))))</f>
        <v/>
      </c>
    </row>
    <row r="2464">
      <c r="A2464" t="inlineStr">
        <is>
          <t>0009029742</t>
        </is>
      </c>
      <c r="B2464" t="inlineStr">
        <is>
          <t>0000100586</t>
        </is>
      </c>
      <c r="C2464" s="3" t="n">
        <v>46021</v>
      </c>
      <c r="D2464" s="3" t="n">
        <v>46051</v>
      </c>
      <c r="E2464" s="4" t="n">
        <v>122.88</v>
      </c>
      <c r="F2464">
        <f>Summary!$B$3-D2464</f>
        <v/>
      </c>
      <c r="G2464">
        <f>IF(D2464&gt;Summary!$B$3,"Current",IF(F2464&lt;=30,"0-30",IF(F2464&lt;=60,"31-60",IF(F2464&lt;=90,"61-90","90+"))))</f>
        <v/>
      </c>
    </row>
    <row r="2465">
      <c r="A2465" t="inlineStr">
        <is>
          <t>0009029743</t>
        </is>
      </c>
      <c r="B2465" t="inlineStr">
        <is>
          <t>0000100132</t>
        </is>
      </c>
      <c r="C2465" s="3" t="n">
        <v>46019</v>
      </c>
      <c r="D2465" s="3" t="n">
        <v>46049</v>
      </c>
      <c r="E2465" s="4" t="n">
        <v>185.18</v>
      </c>
      <c r="F2465">
        <f>Summary!$B$3-D2465</f>
        <v/>
      </c>
      <c r="G2465">
        <f>IF(D2465&gt;Summary!$B$3,"Current",IF(F2465&lt;=30,"0-30",IF(F2465&lt;=60,"31-60",IF(F2465&lt;=90,"61-90","90+"))))</f>
        <v/>
      </c>
    </row>
    <row r="2466">
      <c r="A2466" t="inlineStr">
        <is>
          <t>0009029744</t>
        </is>
      </c>
      <c r="B2466" t="inlineStr">
        <is>
          <t>0000100267</t>
        </is>
      </c>
      <c r="C2466" s="3" t="n">
        <v>46018</v>
      </c>
      <c r="D2466" s="3" t="n">
        <v>46063</v>
      </c>
      <c r="E2466" s="4" t="n">
        <v>158.9</v>
      </c>
      <c r="F2466">
        <f>Summary!$B$3-D2466</f>
        <v/>
      </c>
      <c r="G2466">
        <f>IF(D2466&gt;Summary!$B$3,"Current",IF(F2466&lt;=30,"0-30",IF(F2466&lt;=60,"31-60",IF(F2466&lt;=90,"61-90","90+"))))</f>
        <v/>
      </c>
    </row>
    <row r="2467">
      <c r="A2467" t="inlineStr">
        <is>
          <t>0009029745</t>
        </is>
      </c>
      <c r="B2467" t="inlineStr">
        <is>
          <t>0000100423</t>
        </is>
      </c>
      <c r="C2467" s="3" t="n">
        <v>46017</v>
      </c>
      <c r="D2467" s="3" t="n">
        <v>46062</v>
      </c>
      <c r="E2467" s="4" t="n">
        <v>352.08</v>
      </c>
      <c r="F2467">
        <f>Summary!$B$3-D2467</f>
        <v/>
      </c>
      <c r="G2467">
        <f>IF(D2467&gt;Summary!$B$3,"Current",IF(F2467&lt;=30,"0-30",IF(F2467&lt;=60,"31-60",IF(F2467&lt;=90,"61-90","90+"))))</f>
        <v/>
      </c>
    </row>
    <row r="2468">
      <c r="A2468" t="inlineStr">
        <is>
          <t>0009029746</t>
        </is>
      </c>
      <c r="B2468" t="inlineStr">
        <is>
          <t>0000100021</t>
        </is>
      </c>
      <c r="C2468" s="3" t="n">
        <v>46020</v>
      </c>
      <c r="D2468" s="3" t="n">
        <v>46050</v>
      </c>
      <c r="E2468" s="4" t="n">
        <v>451.37</v>
      </c>
      <c r="F2468">
        <f>Summary!$B$3-D2468</f>
        <v/>
      </c>
      <c r="G2468">
        <f>IF(D2468&gt;Summary!$B$3,"Current",IF(F2468&lt;=30,"0-30",IF(F2468&lt;=60,"31-60",IF(F2468&lt;=90,"61-90","90+"))))</f>
        <v/>
      </c>
    </row>
    <row r="2469">
      <c r="A2469" t="inlineStr">
        <is>
          <t>0009029747</t>
        </is>
      </c>
      <c r="B2469" t="inlineStr">
        <is>
          <t>0000100248</t>
        </is>
      </c>
      <c r="C2469" s="3" t="n">
        <v>46021</v>
      </c>
      <c r="D2469" s="3" t="n">
        <v>46051</v>
      </c>
      <c r="E2469" s="4" t="n">
        <v>225.77</v>
      </c>
      <c r="F2469">
        <f>Summary!$B$3-D2469</f>
        <v/>
      </c>
      <c r="G2469">
        <f>IF(D2469&gt;Summary!$B$3,"Current",IF(F2469&lt;=30,"0-30",IF(F2469&lt;=60,"31-60",IF(F2469&lt;=90,"61-90","90+"))))</f>
        <v/>
      </c>
    </row>
    <row r="2470">
      <c r="A2470" t="inlineStr">
        <is>
          <t>0009029748</t>
        </is>
      </c>
      <c r="B2470" t="inlineStr">
        <is>
          <t>0000100007</t>
        </is>
      </c>
      <c r="C2470" s="3" t="n">
        <v>46020</v>
      </c>
      <c r="D2470" s="3" t="n">
        <v>46050</v>
      </c>
      <c r="E2470" s="4" t="n">
        <v>64.84999999999999</v>
      </c>
      <c r="F2470">
        <f>Summary!$B$3-D2470</f>
        <v/>
      </c>
      <c r="G2470">
        <f>IF(D2470&gt;Summary!$B$3,"Current",IF(F2470&lt;=30,"0-30",IF(F2470&lt;=60,"31-60",IF(F2470&lt;=90,"61-90","90+"))))</f>
        <v/>
      </c>
    </row>
    <row r="2471">
      <c r="A2471" t="inlineStr">
        <is>
          <t>0009029749</t>
        </is>
      </c>
      <c r="B2471" t="inlineStr">
        <is>
          <t>0000100453</t>
        </is>
      </c>
      <c r="C2471" s="3" t="n">
        <v>46018</v>
      </c>
      <c r="D2471" s="3" t="n">
        <v>46048</v>
      </c>
      <c r="E2471" s="4" t="n">
        <v>246.92</v>
      </c>
      <c r="F2471">
        <f>Summary!$B$3-D2471</f>
        <v/>
      </c>
      <c r="G2471">
        <f>IF(D2471&gt;Summary!$B$3,"Current",IF(F2471&lt;=30,"0-30",IF(F2471&lt;=60,"31-60",IF(F2471&lt;=90,"61-90","90+"))))</f>
        <v/>
      </c>
    </row>
    <row r="2472">
      <c r="A2472" t="inlineStr">
        <is>
          <t>0009029750</t>
        </is>
      </c>
      <c r="B2472" t="inlineStr">
        <is>
          <t>0000100222</t>
        </is>
      </c>
      <c r="C2472" s="3" t="n">
        <v>46021</v>
      </c>
      <c r="D2472" s="3" t="n">
        <v>46051</v>
      </c>
      <c r="E2472" s="4" t="n">
        <v>945.14</v>
      </c>
      <c r="F2472">
        <f>Summary!$B$3-D2472</f>
        <v/>
      </c>
      <c r="G2472">
        <f>IF(D2472&gt;Summary!$B$3,"Current",IF(F2472&lt;=30,"0-30",IF(F2472&lt;=60,"31-60",IF(F2472&lt;=90,"61-90","90+"))))</f>
        <v/>
      </c>
    </row>
    <row r="2473">
      <c r="A2473" t="inlineStr">
        <is>
          <t>0009029751</t>
        </is>
      </c>
      <c r="B2473" t="inlineStr">
        <is>
          <t>0000100453</t>
        </is>
      </c>
      <c r="C2473" s="3" t="n">
        <v>46018</v>
      </c>
      <c r="D2473" s="3" t="n">
        <v>46048</v>
      </c>
      <c r="E2473" s="4" t="n">
        <v>2786.8</v>
      </c>
      <c r="F2473">
        <f>Summary!$B$3-D2473</f>
        <v/>
      </c>
      <c r="G2473">
        <f>IF(D2473&gt;Summary!$B$3,"Current",IF(F2473&lt;=30,"0-30",IF(F2473&lt;=60,"31-60",IF(F2473&lt;=90,"61-90","90+"))))</f>
        <v/>
      </c>
    </row>
    <row r="2474">
      <c r="A2474" t="inlineStr">
        <is>
          <t>0009029752</t>
        </is>
      </c>
      <c r="B2474" t="inlineStr">
        <is>
          <t>0000100447</t>
        </is>
      </c>
      <c r="C2474" s="3" t="n">
        <v>46019</v>
      </c>
      <c r="D2474" s="3" t="n">
        <v>46064</v>
      </c>
      <c r="E2474" s="4" t="n">
        <v>70.68000000000001</v>
      </c>
      <c r="F2474">
        <f>Summary!$B$3-D2474</f>
        <v/>
      </c>
      <c r="G2474">
        <f>IF(D2474&gt;Summary!$B$3,"Current",IF(F2474&lt;=30,"0-30",IF(F2474&lt;=60,"31-60",IF(F2474&lt;=90,"61-90","90+"))))</f>
        <v/>
      </c>
    </row>
    <row r="2475">
      <c r="A2475" t="inlineStr">
        <is>
          <t>0009029753</t>
        </is>
      </c>
      <c r="B2475" t="inlineStr">
        <is>
          <t>0000100504</t>
        </is>
      </c>
      <c r="C2475" s="3" t="n">
        <v>46022</v>
      </c>
      <c r="D2475" s="3" t="n">
        <v>46052</v>
      </c>
      <c r="E2475" s="4" t="n">
        <v>11083.75</v>
      </c>
      <c r="F2475">
        <f>Summary!$B$3-D2475</f>
        <v/>
      </c>
      <c r="G2475">
        <f>IF(D2475&gt;Summary!$B$3,"Current",IF(F2475&lt;=30,"0-30",IF(F2475&lt;=60,"31-60",IF(F2475&lt;=90,"61-90","90+"))))</f>
        <v/>
      </c>
    </row>
    <row r="2476">
      <c r="A2476" t="inlineStr">
        <is>
          <t>0009029754</t>
        </is>
      </c>
      <c r="B2476" t="inlineStr">
        <is>
          <t>0000100222</t>
        </is>
      </c>
      <c r="C2476" s="3" t="n">
        <v>46017</v>
      </c>
      <c r="D2476" s="3" t="n">
        <v>46047</v>
      </c>
      <c r="E2476" s="4" t="n">
        <v>4316.59</v>
      </c>
      <c r="F2476">
        <f>Summary!$B$3-D2476</f>
        <v/>
      </c>
      <c r="G2476">
        <f>IF(D2476&gt;Summary!$B$3,"Current",IF(F2476&lt;=30,"0-30",IF(F2476&lt;=60,"31-60",IF(F2476&lt;=90,"61-90","90+"))))</f>
        <v/>
      </c>
    </row>
    <row r="2477">
      <c r="A2477" t="inlineStr">
        <is>
          <t>0009029755</t>
        </is>
      </c>
      <c r="B2477" t="inlineStr">
        <is>
          <t>0000100267</t>
        </is>
      </c>
      <c r="C2477" s="3" t="n">
        <v>46019</v>
      </c>
      <c r="D2477" s="3" t="n">
        <v>46064</v>
      </c>
      <c r="E2477" s="4" t="n">
        <v>850.11</v>
      </c>
      <c r="F2477">
        <f>Summary!$B$3-D2477</f>
        <v/>
      </c>
      <c r="G2477">
        <f>IF(D2477&gt;Summary!$B$3,"Current",IF(F2477&lt;=30,"0-30",IF(F2477&lt;=60,"31-60",IF(F2477&lt;=90,"61-90","90+"))))</f>
        <v/>
      </c>
    </row>
    <row r="2478">
      <c r="A2478" t="inlineStr">
        <is>
          <t>0009029756</t>
        </is>
      </c>
      <c r="B2478" t="inlineStr">
        <is>
          <t>0000100291</t>
        </is>
      </c>
      <c r="C2478" s="3" t="n">
        <v>46015</v>
      </c>
      <c r="D2478" s="3" t="n">
        <v>46075</v>
      </c>
      <c r="E2478" s="4" t="n">
        <v>2300.49</v>
      </c>
      <c r="F2478">
        <f>Summary!$B$3-D2478</f>
        <v/>
      </c>
      <c r="G2478">
        <f>IF(D2478&gt;Summary!$B$3,"Current",IF(F2478&lt;=30,"0-30",IF(F2478&lt;=60,"31-60",IF(F2478&lt;=90,"61-90","90+"))))</f>
        <v/>
      </c>
    </row>
    <row r="2479">
      <c r="A2479" t="inlineStr">
        <is>
          <t>0009029757</t>
        </is>
      </c>
      <c r="B2479" t="inlineStr">
        <is>
          <t>0000100083</t>
        </is>
      </c>
      <c r="C2479" s="3" t="n">
        <v>46022</v>
      </c>
      <c r="D2479" s="3" t="n">
        <v>46052</v>
      </c>
      <c r="E2479" s="4" t="n">
        <v>1035.46</v>
      </c>
      <c r="F2479">
        <f>Summary!$B$3-D2479</f>
        <v/>
      </c>
      <c r="G2479">
        <f>IF(D2479&gt;Summary!$B$3,"Current",IF(F2479&lt;=30,"0-30",IF(F2479&lt;=60,"31-60",IF(F2479&lt;=90,"61-90","90+"))))</f>
        <v/>
      </c>
    </row>
    <row r="2480">
      <c r="A2480" t="inlineStr">
        <is>
          <t>0009029758</t>
        </is>
      </c>
      <c r="B2480" t="inlineStr">
        <is>
          <t>0000100019</t>
        </is>
      </c>
      <c r="C2480" s="3" t="n">
        <v>46018</v>
      </c>
      <c r="D2480" s="3" t="n">
        <v>46048</v>
      </c>
      <c r="E2480" s="4" t="n">
        <v>930.11</v>
      </c>
      <c r="F2480">
        <f>Summary!$B$3-D2480</f>
        <v/>
      </c>
      <c r="G2480">
        <f>IF(D2480&gt;Summary!$B$3,"Current",IF(F2480&lt;=30,"0-30",IF(F2480&lt;=60,"31-60",IF(F2480&lt;=90,"61-90","90+"))))</f>
        <v/>
      </c>
    </row>
    <row r="2481">
      <c r="A2481" t="inlineStr">
        <is>
          <t>0009029759</t>
        </is>
      </c>
      <c r="B2481" t="inlineStr">
        <is>
          <t>0000100163</t>
        </is>
      </c>
      <c r="C2481" s="3" t="n">
        <v>46021</v>
      </c>
      <c r="D2481" s="3" t="n">
        <v>46051</v>
      </c>
      <c r="E2481" s="4" t="n">
        <v>1211.66</v>
      </c>
      <c r="F2481">
        <f>Summary!$B$3-D2481</f>
        <v/>
      </c>
      <c r="G2481">
        <f>IF(D2481&gt;Summary!$B$3,"Current",IF(F2481&lt;=30,"0-30",IF(F2481&lt;=60,"31-60",IF(F2481&lt;=90,"61-90","90+"))))</f>
        <v/>
      </c>
    </row>
    <row r="2482">
      <c r="A2482" t="inlineStr">
        <is>
          <t>0009029760</t>
        </is>
      </c>
      <c r="B2482" t="inlineStr">
        <is>
          <t>0000100362</t>
        </is>
      </c>
      <c r="C2482" s="3" t="n">
        <v>46020</v>
      </c>
      <c r="D2482" s="3" t="n">
        <v>46050</v>
      </c>
      <c r="E2482" s="4" t="n">
        <v>526.3200000000001</v>
      </c>
      <c r="F2482">
        <f>Summary!$B$3-D2482</f>
        <v/>
      </c>
      <c r="G2482">
        <f>IF(D2482&gt;Summary!$B$3,"Current",IF(F2482&lt;=30,"0-30",IF(F2482&lt;=60,"31-60",IF(F2482&lt;=90,"61-90","90+"))))</f>
        <v/>
      </c>
    </row>
    <row r="2483">
      <c r="A2483" t="inlineStr">
        <is>
          <t>0009029761</t>
        </is>
      </c>
      <c r="B2483" t="inlineStr">
        <is>
          <t>0000100196</t>
        </is>
      </c>
      <c r="C2483" s="3" t="n">
        <v>46019</v>
      </c>
      <c r="D2483" s="3" t="n">
        <v>46049</v>
      </c>
      <c r="E2483" s="4" t="n">
        <v>706.25</v>
      </c>
      <c r="F2483">
        <f>Summary!$B$3-D2483</f>
        <v/>
      </c>
      <c r="G2483">
        <f>IF(D2483&gt;Summary!$B$3,"Current",IF(F2483&lt;=30,"0-30",IF(F2483&lt;=60,"31-60",IF(F2483&lt;=90,"61-90","90+"))))</f>
        <v/>
      </c>
    </row>
    <row r="2484">
      <c r="A2484" t="inlineStr">
        <is>
          <t>0009029762</t>
        </is>
      </c>
      <c r="B2484" t="inlineStr">
        <is>
          <t>0000100354</t>
        </is>
      </c>
      <c r="C2484" s="3" t="n">
        <v>46021</v>
      </c>
      <c r="D2484" s="3" t="n">
        <v>46081</v>
      </c>
      <c r="E2484" s="4" t="n">
        <v>3406.11</v>
      </c>
      <c r="F2484">
        <f>Summary!$B$3-D2484</f>
        <v/>
      </c>
      <c r="G2484">
        <f>IF(D2484&gt;Summary!$B$3,"Current",IF(F2484&lt;=30,"0-30",IF(F2484&lt;=60,"31-60",IF(F2484&lt;=90,"61-90","90+"))))</f>
        <v/>
      </c>
    </row>
    <row r="2485">
      <c r="A2485" t="inlineStr">
        <is>
          <t>0009029764</t>
        </is>
      </c>
      <c r="B2485" t="inlineStr">
        <is>
          <t>0000100315</t>
        </is>
      </c>
      <c r="C2485" s="3" t="n">
        <v>46022</v>
      </c>
      <c r="D2485" s="3" t="n">
        <v>46082</v>
      </c>
      <c r="E2485" s="4" t="n">
        <v>1333.26</v>
      </c>
      <c r="F2485">
        <f>Summary!$B$3-D2485</f>
        <v/>
      </c>
      <c r="G2485">
        <f>IF(D2485&gt;Summary!$B$3,"Current",IF(F2485&lt;=30,"0-30",IF(F2485&lt;=60,"31-60",IF(F2485&lt;=90,"61-90","90+"))))</f>
        <v/>
      </c>
    </row>
    <row r="2486">
      <c r="A2486" t="inlineStr">
        <is>
          <t>0009029765</t>
        </is>
      </c>
      <c r="B2486" t="inlineStr">
        <is>
          <t>0000100116</t>
        </is>
      </c>
      <c r="C2486" s="3" t="n">
        <v>46021</v>
      </c>
      <c r="D2486" s="3" t="n">
        <v>46066</v>
      </c>
      <c r="E2486" s="4" t="n">
        <v>2094.96</v>
      </c>
      <c r="F2486">
        <f>Summary!$B$3-D2486</f>
        <v/>
      </c>
      <c r="G2486">
        <f>IF(D2486&gt;Summary!$B$3,"Current",IF(F2486&lt;=30,"0-30",IF(F2486&lt;=60,"31-60",IF(F2486&lt;=90,"61-90","90+"))))</f>
        <v/>
      </c>
    </row>
    <row r="2487">
      <c r="A2487" t="inlineStr">
        <is>
          <t>0009029766</t>
        </is>
      </c>
      <c r="B2487" t="inlineStr">
        <is>
          <t>0000100331</t>
        </is>
      </c>
      <c r="C2487" s="3" t="n">
        <v>46022</v>
      </c>
      <c r="D2487" s="3" t="n">
        <v>46052</v>
      </c>
      <c r="E2487" s="4" t="n">
        <v>482.02</v>
      </c>
      <c r="F2487">
        <f>Summary!$B$3-D2487</f>
        <v/>
      </c>
      <c r="G2487">
        <f>IF(D2487&gt;Summary!$B$3,"Current",IF(F2487&lt;=30,"0-30",IF(F2487&lt;=60,"31-60",IF(F2487&lt;=90,"61-90","90+"))))</f>
        <v/>
      </c>
    </row>
    <row r="2488">
      <c r="A2488" t="inlineStr">
        <is>
          <t>0009029767</t>
        </is>
      </c>
      <c r="B2488" t="inlineStr">
        <is>
          <t>0000100423</t>
        </is>
      </c>
      <c r="C2488" s="3" t="n">
        <v>46019</v>
      </c>
      <c r="D2488" s="3" t="n">
        <v>46064</v>
      </c>
      <c r="E2488" s="4" t="n">
        <v>233.66</v>
      </c>
      <c r="F2488">
        <f>Summary!$B$3-D2488</f>
        <v/>
      </c>
      <c r="G2488">
        <f>IF(D2488&gt;Summary!$B$3,"Current",IF(F2488&lt;=30,"0-30",IF(F2488&lt;=60,"31-60",IF(F2488&lt;=90,"61-90","90+"))))</f>
        <v/>
      </c>
    </row>
    <row r="2489">
      <c r="A2489" t="inlineStr">
        <is>
          <t>0009029768</t>
        </is>
      </c>
      <c r="B2489" t="inlineStr">
        <is>
          <t>0000100106</t>
        </is>
      </c>
      <c r="C2489" s="3" t="n">
        <v>46017</v>
      </c>
      <c r="D2489" s="3" t="n">
        <v>46062</v>
      </c>
      <c r="E2489" s="4" t="n">
        <v>366.22</v>
      </c>
      <c r="F2489">
        <f>Summary!$B$3-D2489</f>
        <v/>
      </c>
      <c r="G2489">
        <f>IF(D2489&gt;Summary!$B$3,"Current",IF(F2489&lt;=30,"0-30",IF(F2489&lt;=60,"31-60",IF(F2489&lt;=90,"61-90","90+"))))</f>
        <v/>
      </c>
    </row>
    <row r="2490">
      <c r="A2490" t="inlineStr">
        <is>
          <t>0009029769</t>
        </is>
      </c>
      <c r="B2490" t="inlineStr">
        <is>
          <t>0000100490</t>
        </is>
      </c>
      <c r="C2490" s="3" t="n">
        <v>46021</v>
      </c>
      <c r="D2490" s="3" t="n">
        <v>46051</v>
      </c>
      <c r="E2490" s="4" t="n">
        <v>697.02</v>
      </c>
      <c r="F2490">
        <f>Summary!$B$3-D2490</f>
        <v/>
      </c>
      <c r="G2490">
        <f>IF(D2490&gt;Summary!$B$3,"Current",IF(F2490&lt;=30,"0-30",IF(F2490&lt;=60,"31-60",IF(F2490&lt;=90,"61-90","90+"))))</f>
        <v/>
      </c>
    </row>
    <row r="2491">
      <c r="A2491" t="inlineStr">
        <is>
          <t>0009029771</t>
        </is>
      </c>
      <c r="B2491" t="inlineStr">
        <is>
          <t>0000100326</t>
        </is>
      </c>
      <c r="C2491" s="3" t="n">
        <v>46022</v>
      </c>
      <c r="D2491" s="3" t="n">
        <v>46052</v>
      </c>
      <c r="E2491" s="4" t="n">
        <v>1008.49</v>
      </c>
      <c r="F2491">
        <f>Summary!$B$3-D2491</f>
        <v/>
      </c>
      <c r="G2491">
        <f>IF(D2491&gt;Summary!$B$3,"Current",IF(F2491&lt;=30,"0-30",IF(F2491&lt;=60,"31-60",IF(F2491&lt;=90,"61-90","90+"))))</f>
        <v/>
      </c>
    </row>
    <row r="2492">
      <c r="A2492" t="inlineStr">
        <is>
          <t>0009029772</t>
        </is>
      </c>
      <c r="B2492" t="inlineStr">
        <is>
          <t>0000100290</t>
        </is>
      </c>
      <c r="C2492" s="3" t="n">
        <v>46017</v>
      </c>
      <c r="D2492" s="3" t="n">
        <v>46047</v>
      </c>
      <c r="E2492" s="4" t="n">
        <v>588.91</v>
      </c>
      <c r="F2492">
        <f>Summary!$B$3-D2492</f>
        <v/>
      </c>
      <c r="G2492">
        <f>IF(D2492&gt;Summary!$B$3,"Current",IF(F2492&lt;=30,"0-30",IF(F2492&lt;=60,"31-60",IF(F2492&lt;=90,"61-90","90+"))))</f>
        <v/>
      </c>
    </row>
    <row r="2493">
      <c r="A2493" t="inlineStr">
        <is>
          <t>0009029773</t>
        </is>
      </c>
      <c r="B2493" t="inlineStr">
        <is>
          <t>0000100397</t>
        </is>
      </c>
      <c r="C2493" s="3" t="n">
        <v>46021</v>
      </c>
      <c r="D2493" s="3" t="n">
        <v>46051</v>
      </c>
      <c r="E2493" s="4" t="n">
        <v>176.4</v>
      </c>
      <c r="F2493">
        <f>Summary!$B$3-D2493</f>
        <v/>
      </c>
      <c r="G2493">
        <f>IF(D2493&gt;Summary!$B$3,"Current",IF(F2493&lt;=30,"0-30",IF(F2493&lt;=60,"31-60",IF(F2493&lt;=90,"61-90","90+"))))</f>
        <v/>
      </c>
    </row>
    <row r="2494">
      <c r="A2494" t="inlineStr">
        <is>
          <t>0009029775</t>
        </is>
      </c>
      <c r="B2494" t="inlineStr">
        <is>
          <t>0000100380</t>
        </is>
      </c>
      <c r="C2494" s="3" t="n">
        <v>46020</v>
      </c>
      <c r="D2494" s="3" t="n">
        <v>46080</v>
      </c>
      <c r="E2494" s="4" t="n">
        <v>233.11</v>
      </c>
      <c r="F2494">
        <f>Summary!$B$3-D2494</f>
        <v/>
      </c>
      <c r="G2494">
        <f>IF(D2494&gt;Summary!$B$3,"Current",IF(F2494&lt;=30,"0-30",IF(F2494&lt;=60,"31-60",IF(F2494&lt;=90,"61-90","90+"))))</f>
        <v/>
      </c>
    </row>
    <row r="2495">
      <c r="A2495" t="inlineStr">
        <is>
          <t>0009029776</t>
        </is>
      </c>
      <c r="B2495" t="inlineStr">
        <is>
          <t>0000100155</t>
        </is>
      </c>
      <c r="C2495" s="3" t="n">
        <v>46020</v>
      </c>
      <c r="D2495" s="3" t="n">
        <v>46050</v>
      </c>
      <c r="E2495" s="4" t="n">
        <v>1767.46</v>
      </c>
      <c r="F2495">
        <f>Summary!$B$3-D2495</f>
        <v/>
      </c>
      <c r="G2495">
        <f>IF(D2495&gt;Summary!$B$3,"Current",IF(F2495&lt;=30,"0-30",IF(F2495&lt;=60,"31-60",IF(F2495&lt;=90,"61-90","90+"))))</f>
        <v/>
      </c>
    </row>
    <row r="2496">
      <c r="A2496" t="inlineStr">
        <is>
          <t>0009029777</t>
        </is>
      </c>
      <c r="B2496" t="inlineStr">
        <is>
          <t>0000100149</t>
        </is>
      </c>
      <c r="C2496" s="3" t="n">
        <v>46018</v>
      </c>
      <c r="D2496" s="3" t="n">
        <v>46078</v>
      </c>
      <c r="E2496" s="4" t="n">
        <v>757.26</v>
      </c>
      <c r="F2496">
        <f>Summary!$B$3-D2496</f>
        <v/>
      </c>
      <c r="G2496">
        <f>IF(D2496&gt;Summary!$B$3,"Current",IF(F2496&lt;=30,"0-30",IF(F2496&lt;=60,"31-60",IF(F2496&lt;=90,"61-90","90+"))))</f>
        <v/>
      </c>
    </row>
    <row r="2497">
      <c r="A2497" t="inlineStr">
        <is>
          <t>0009029778</t>
        </is>
      </c>
      <c r="B2497" t="inlineStr">
        <is>
          <t>0000100299</t>
        </is>
      </c>
      <c r="C2497" s="3" t="n">
        <v>46020</v>
      </c>
      <c r="D2497" s="3" t="n">
        <v>46065</v>
      </c>
      <c r="E2497" s="4" t="n">
        <v>1377.53</v>
      </c>
      <c r="F2497">
        <f>Summary!$B$3-D2497</f>
        <v/>
      </c>
      <c r="G2497">
        <f>IF(D2497&gt;Summary!$B$3,"Current",IF(F2497&lt;=30,"0-30",IF(F2497&lt;=60,"31-60",IF(F2497&lt;=90,"61-90","90+"))))</f>
        <v/>
      </c>
    </row>
    <row r="2498">
      <c r="A2498" t="inlineStr">
        <is>
          <t>0009029779</t>
        </is>
      </c>
      <c r="B2498" t="inlineStr">
        <is>
          <t>0000100133</t>
        </is>
      </c>
      <c r="C2498" s="3" t="n">
        <v>46020</v>
      </c>
      <c r="D2498" s="3" t="n">
        <v>46050</v>
      </c>
      <c r="E2498" s="4" t="n">
        <v>2836.18</v>
      </c>
      <c r="F2498">
        <f>Summary!$B$3-D2498</f>
        <v/>
      </c>
      <c r="G2498">
        <f>IF(D2498&gt;Summary!$B$3,"Current",IF(F2498&lt;=30,"0-30",IF(F2498&lt;=60,"31-60",IF(F2498&lt;=90,"61-90","90+"))))</f>
        <v/>
      </c>
    </row>
    <row r="2499">
      <c r="A2499" t="inlineStr">
        <is>
          <t>0009029780</t>
        </is>
      </c>
      <c r="B2499" t="inlineStr">
        <is>
          <t>0000100094</t>
        </is>
      </c>
      <c r="C2499" s="3" t="n">
        <v>46019</v>
      </c>
      <c r="D2499" s="3" t="n">
        <v>46079</v>
      </c>
      <c r="E2499" s="4" t="n">
        <v>1300.85</v>
      </c>
      <c r="F2499">
        <f>Summary!$B$3-D2499</f>
        <v/>
      </c>
      <c r="G2499">
        <f>IF(D2499&gt;Summary!$B$3,"Current",IF(F2499&lt;=30,"0-30",IF(F2499&lt;=60,"31-60",IF(F2499&lt;=90,"61-90","90+"))))</f>
        <v/>
      </c>
    </row>
    <row r="2500">
      <c r="A2500" t="inlineStr">
        <is>
          <t>0009029781</t>
        </is>
      </c>
      <c r="B2500" t="inlineStr">
        <is>
          <t>0000100324</t>
        </is>
      </c>
      <c r="C2500" s="3" t="n">
        <v>46016</v>
      </c>
      <c r="D2500" s="3" t="n">
        <v>46046</v>
      </c>
      <c r="E2500" s="4" t="n">
        <v>3035.29</v>
      </c>
      <c r="F2500">
        <f>Summary!$B$3-D2500</f>
        <v/>
      </c>
      <c r="G2500">
        <f>IF(D2500&gt;Summary!$B$3,"Current",IF(F2500&lt;=30,"0-30",IF(F2500&lt;=60,"31-60",IF(F2500&lt;=90,"61-90","90+"))))</f>
        <v/>
      </c>
    </row>
    <row r="2501">
      <c r="A2501" t="inlineStr">
        <is>
          <t>0009029782</t>
        </is>
      </c>
      <c r="B2501" t="inlineStr">
        <is>
          <t>0000100348</t>
        </is>
      </c>
      <c r="C2501" s="3" t="n">
        <v>46020</v>
      </c>
      <c r="D2501" s="3" t="n">
        <v>46080</v>
      </c>
      <c r="E2501" s="4" t="n">
        <v>1051.95</v>
      </c>
      <c r="F2501">
        <f>Summary!$B$3-D2501</f>
        <v/>
      </c>
      <c r="G2501">
        <f>IF(D2501&gt;Summary!$B$3,"Current",IF(F2501&lt;=30,"0-30",IF(F2501&lt;=60,"31-60",IF(F2501&lt;=90,"61-90","90+"))))</f>
        <v/>
      </c>
    </row>
    <row r="2502">
      <c r="A2502" t="inlineStr">
        <is>
          <t>0009029783</t>
        </is>
      </c>
      <c r="B2502" t="inlineStr">
        <is>
          <t>0000100348</t>
        </is>
      </c>
      <c r="C2502" s="3" t="n">
        <v>46021</v>
      </c>
      <c r="D2502" s="3" t="n">
        <v>46081</v>
      </c>
      <c r="E2502" s="4" t="n">
        <v>1225.57</v>
      </c>
      <c r="F2502">
        <f>Summary!$B$3-D2502</f>
        <v/>
      </c>
      <c r="G2502">
        <f>IF(D2502&gt;Summary!$B$3,"Current",IF(F2502&lt;=30,"0-30",IF(F2502&lt;=60,"31-60",IF(F2502&lt;=90,"61-90","90+"))))</f>
        <v/>
      </c>
    </row>
    <row r="2503">
      <c r="A2503" t="inlineStr">
        <is>
          <t>0009029784</t>
        </is>
      </c>
      <c r="B2503" t="inlineStr">
        <is>
          <t>0000100219</t>
        </is>
      </c>
      <c r="C2503" s="3" t="n">
        <v>46020</v>
      </c>
      <c r="D2503" s="3" t="n">
        <v>46050</v>
      </c>
      <c r="E2503" s="4" t="n">
        <v>2347.05</v>
      </c>
      <c r="F2503">
        <f>Summary!$B$3-D2503</f>
        <v/>
      </c>
      <c r="G2503">
        <f>IF(D2503&gt;Summary!$B$3,"Current",IF(F2503&lt;=30,"0-30",IF(F2503&lt;=60,"31-60",IF(F2503&lt;=90,"61-90","90+"))))</f>
        <v/>
      </c>
    </row>
    <row r="2504">
      <c r="A2504" t="inlineStr">
        <is>
          <t>0009029785</t>
        </is>
      </c>
      <c r="B2504" t="inlineStr">
        <is>
          <t>0000100011</t>
        </is>
      </c>
      <c r="C2504" s="3" t="n">
        <v>46022</v>
      </c>
      <c r="D2504" s="3" t="n">
        <v>46067</v>
      </c>
      <c r="E2504" s="4" t="n">
        <v>1299.29</v>
      </c>
      <c r="F2504">
        <f>Summary!$B$3-D2504</f>
        <v/>
      </c>
      <c r="G2504">
        <f>IF(D2504&gt;Summary!$B$3,"Current",IF(F2504&lt;=30,"0-30",IF(F2504&lt;=60,"31-60",IF(F2504&lt;=90,"61-90","90+"))))</f>
        <v/>
      </c>
    </row>
    <row r="2505">
      <c r="A2505" t="inlineStr">
        <is>
          <t>0009029786</t>
        </is>
      </c>
      <c r="B2505" t="inlineStr">
        <is>
          <t>0000100315</t>
        </is>
      </c>
      <c r="C2505" s="3" t="n">
        <v>46019</v>
      </c>
      <c r="D2505" s="3" t="n">
        <v>46079</v>
      </c>
      <c r="E2505" s="4" t="n">
        <v>635.42</v>
      </c>
      <c r="F2505">
        <f>Summary!$B$3-D2505</f>
        <v/>
      </c>
      <c r="G2505">
        <f>IF(D2505&gt;Summary!$B$3,"Current",IF(F2505&lt;=30,"0-30",IF(F2505&lt;=60,"31-60",IF(F2505&lt;=90,"61-90","90+"))))</f>
        <v/>
      </c>
    </row>
    <row r="2506">
      <c r="A2506" t="inlineStr">
        <is>
          <t>0009029787</t>
        </is>
      </c>
      <c r="B2506" t="inlineStr">
        <is>
          <t>0000100415</t>
        </is>
      </c>
      <c r="C2506" s="3" t="n">
        <v>46019</v>
      </c>
      <c r="D2506" s="3" t="n">
        <v>46049</v>
      </c>
      <c r="E2506" s="4" t="n">
        <v>489.98</v>
      </c>
      <c r="F2506">
        <f>Summary!$B$3-D2506</f>
        <v/>
      </c>
      <c r="G2506">
        <f>IF(D2506&gt;Summary!$B$3,"Current",IF(F2506&lt;=30,"0-30",IF(F2506&lt;=60,"31-60",IF(F2506&lt;=90,"61-90","90+"))))</f>
        <v/>
      </c>
    </row>
    <row r="2507">
      <c r="A2507" t="inlineStr">
        <is>
          <t>0009029788</t>
        </is>
      </c>
      <c r="B2507" t="inlineStr">
        <is>
          <t>0000100110</t>
        </is>
      </c>
      <c r="C2507" s="3" t="n">
        <v>46019</v>
      </c>
      <c r="D2507" s="3" t="n">
        <v>46079</v>
      </c>
      <c r="E2507" s="4" t="n">
        <v>1275.68</v>
      </c>
      <c r="F2507">
        <f>Summary!$B$3-D2507</f>
        <v/>
      </c>
      <c r="G2507">
        <f>IF(D2507&gt;Summary!$B$3,"Current",IF(F2507&lt;=30,"0-30",IF(F2507&lt;=60,"31-60",IF(F2507&lt;=90,"61-90","90+"))))</f>
        <v/>
      </c>
    </row>
    <row r="2508">
      <c r="A2508" t="inlineStr">
        <is>
          <t>0009029789</t>
        </is>
      </c>
      <c r="B2508" t="inlineStr">
        <is>
          <t>0000100502</t>
        </is>
      </c>
      <c r="C2508" s="3" t="n">
        <v>46022</v>
      </c>
      <c r="D2508" s="3" t="n">
        <v>46067</v>
      </c>
      <c r="E2508" s="4" t="n">
        <v>942.03</v>
      </c>
      <c r="F2508">
        <f>Summary!$B$3-D2508</f>
        <v/>
      </c>
      <c r="G2508">
        <f>IF(D2508&gt;Summary!$B$3,"Current",IF(F2508&lt;=30,"0-30",IF(F2508&lt;=60,"31-60",IF(F2508&lt;=90,"61-90","90+"))))</f>
        <v/>
      </c>
    </row>
    <row r="2509">
      <c r="A2509" t="inlineStr">
        <is>
          <t>0009029790</t>
        </is>
      </c>
      <c r="B2509" t="inlineStr">
        <is>
          <t>0000100564</t>
        </is>
      </c>
      <c r="C2509" s="3" t="n">
        <v>46019</v>
      </c>
      <c r="D2509" s="3" t="n">
        <v>46049</v>
      </c>
      <c r="E2509" s="4" t="n">
        <v>182.95</v>
      </c>
      <c r="F2509">
        <f>Summary!$B$3-D2509</f>
        <v/>
      </c>
      <c r="G2509">
        <f>IF(D2509&gt;Summary!$B$3,"Current",IF(F2509&lt;=30,"0-30",IF(F2509&lt;=60,"31-60",IF(F2509&lt;=90,"61-90","90+"))))</f>
        <v/>
      </c>
    </row>
    <row r="2510">
      <c r="A2510" t="inlineStr">
        <is>
          <t>0009029791</t>
        </is>
      </c>
      <c r="B2510" t="inlineStr">
        <is>
          <t>0000100383</t>
        </is>
      </c>
      <c r="C2510" s="3" t="n">
        <v>46020</v>
      </c>
      <c r="D2510" s="3" t="n">
        <v>46050</v>
      </c>
      <c r="E2510" s="4" t="n">
        <v>296.74</v>
      </c>
      <c r="F2510">
        <f>Summary!$B$3-D2510</f>
        <v/>
      </c>
      <c r="G2510">
        <f>IF(D2510&gt;Summary!$B$3,"Current",IF(F2510&lt;=30,"0-30",IF(F2510&lt;=60,"31-60",IF(F2510&lt;=90,"61-90","90+"))))</f>
        <v/>
      </c>
    </row>
    <row r="2511">
      <c r="A2511" t="inlineStr">
        <is>
          <t>0009029792</t>
        </is>
      </c>
      <c r="B2511" t="inlineStr">
        <is>
          <t>0000100086</t>
        </is>
      </c>
      <c r="C2511" s="3" t="n">
        <v>46021</v>
      </c>
      <c r="D2511" s="3" t="n">
        <v>46051</v>
      </c>
      <c r="E2511" s="4" t="n">
        <v>145.94</v>
      </c>
      <c r="F2511">
        <f>Summary!$B$3-D2511</f>
        <v/>
      </c>
      <c r="G2511">
        <f>IF(D2511&gt;Summary!$B$3,"Current",IF(F2511&lt;=30,"0-30",IF(F2511&lt;=60,"31-60",IF(F2511&lt;=90,"61-90","90+"))))</f>
        <v/>
      </c>
    </row>
    <row r="2512">
      <c r="A2512" t="inlineStr">
        <is>
          <t>0009029793</t>
        </is>
      </c>
      <c r="B2512" t="inlineStr">
        <is>
          <t>0000100339</t>
        </is>
      </c>
      <c r="C2512" s="3" t="n">
        <v>46022</v>
      </c>
      <c r="D2512" s="3" t="n">
        <v>46052</v>
      </c>
      <c r="E2512" s="4" t="n">
        <v>194.57</v>
      </c>
      <c r="F2512">
        <f>Summary!$B$3-D2512</f>
        <v/>
      </c>
      <c r="G2512">
        <f>IF(D2512&gt;Summary!$B$3,"Current",IF(F2512&lt;=30,"0-30",IF(F2512&lt;=60,"31-60",IF(F2512&lt;=90,"61-90","90+"))))</f>
        <v/>
      </c>
    </row>
    <row r="2513">
      <c r="A2513" t="inlineStr">
        <is>
          <t>0009029794</t>
        </is>
      </c>
      <c r="B2513" t="inlineStr">
        <is>
          <t>0000100111</t>
        </is>
      </c>
      <c r="C2513" s="3" t="n">
        <v>46020</v>
      </c>
      <c r="D2513" s="3" t="n">
        <v>46065</v>
      </c>
      <c r="E2513" s="4" t="n">
        <v>199.64</v>
      </c>
      <c r="F2513">
        <f>Summary!$B$3-D2513</f>
        <v/>
      </c>
      <c r="G2513">
        <f>IF(D2513&gt;Summary!$B$3,"Current",IF(F2513&lt;=30,"0-30",IF(F2513&lt;=60,"31-60",IF(F2513&lt;=90,"61-90","90+"))))</f>
        <v/>
      </c>
    </row>
    <row r="2514">
      <c r="A2514" t="inlineStr">
        <is>
          <t>0009029795</t>
        </is>
      </c>
      <c r="B2514" t="inlineStr">
        <is>
          <t>0000100097</t>
        </is>
      </c>
      <c r="C2514" s="3" t="n">
        <v>46018</v>
      </c>
      <c r="D2514" s="3" t="n">
        <v>46063</v>
      </c>
      <c r="E2514" s="4" t="n">
        <v>823.4</v>
      </c>
      <c r="F2514">
        <f>Summary!$B$3-D2514</f>
        <v/>
      </c>
      <c r="G2514">
        <f>IF(D2514&gt;Summary!$B$3,"Current",IF(F2514&lt;=30,"0-30",IF(F2514&lt;=60,"31-60",IF(F2514&lt;=90,"61-90","90+"))))</f>
        <v/>
      </c>
    </row>
    <row r="2515">
      <c r="A2515" t="inlineStr">
        <is>
          <t>0009029796</t>
        </is>
      </c>
      <c r="B2515" t="inlineStr">
        <is>
          <t>0000100386</t>
        </is>
      </c>
      <c r="C2515" s="3" t="n">
        <v>46020</v>
      </c>
      <c r="D2515" s="3" t="n">
        <v>46050</v>
      </c>
      <c r="E2515" s="4" t="n">
        <v>109.2</v>
      </c>
      <c r="F2515">
        <f>Summary!$B$3-D2515</f>
        <v/>
      </c>
      <c r="G2515">
        <f>IF(D2515&gt;Summary!$B$3,"Current",IF(F2515&lt;=30,"0-30",IF(F2515&lt;=60,"31-60",IF(F2515&lt;=90,"61-90","90+"))))</f>
        <v/>
      </c>
    </row>
    <row r="2516">
      <c r="A2516" t="inlineStr">
        <is>
          <t>0009029797</t>
        </is>
      </c>
      <c r="B2516" t="inlineStr">
        <is>
          <t>0000100125</t>
        </is>
      </c>
      <c r="C2516" s="3" t="n">
        <v>46019</v>
      </c>
      <c r="D2516" s="3" t="n">
        <v>46049</v>
      </c>
      <c r="E2516" s="4" t="n">
        <v>846.35</v>
      </c>
      <c r="F2516">
        <f>Summary!$B$3-D2516</f>
        <v/>
      </c>
      <c r="G2516">
        <f>IF(D2516&gt;Summary!$B$3,"Current",IF(F2516&lt;=30,"0-30",IF(F2516&lt;=60,"31-60",IF(F2516&lt;=90,"61-90","90+"))))</f>
        <v/>
      </c>
    </row>
    <row r="2517">
      <c r="A2517" t="inlineStr">
        <is>
          <t>0009029798</t>
        </is>
      </c>
      <c r="B2517" t="inlineStr">
        <is>
          <t>0000100002</t>
        </is>
      </c>
      <c r="C2517" s="3" t="n">
        <v>46019</v>
      </c>
      <c r="D2517" s="3" t="n">
        <v>46079</v>
      </c>
      <c r="E2517" s="4" t="n">
        <v>431.44</v>
      </c>
      <c r="F2517">
        <f>Summary!$B$3-D2517</f>
        <v/>
      </c>
      <c r="G2517">
        <f>IF(D2517&gt;Summary!$B$3,"Current",IF(F2517&lt;=30,"0-30",IF(F2517&lt;=60,"31-60",IF(F2517&lt;=90,"61-90","90+"))))</f>
        <v/>
      </c>
    </row>
    <row r="2518">
      <c r="A2518" t="inlineStr">
        <is>
          <t>0009029799</t>
        </is>
      </c>
      <c r="B2518" t="inlineStr">
        <is>
          <t>0000100315</t>
        </is>
      </c>
      <c r="C2518" s="3" t="n">
        <v>46020</v>
      </c>
      <c r="D2518" s="3" t="n">
        <v>46080</v>
      </c>
      <c r="E2518" s="4" t="n">
        <v>1693.27</v>
      </c>
      <c r="F2518">
        <f>Summary!$B$3-D2518</f>
        <v/>
      </c>
      <c r="G2518">
        <f>IF(D2518&gt;Summary!$B$3,"Current",IF(F2518&lt;=30,"0-30",IF(F2518&lt;=60,"31-60",IF(F2518&lt;=90,"61-90","90+"))))</f>
        <v/>
      </c>
    </row>
    <row r="2519">
      <c r="A2519" t="inlineStr">
        <is>
          <t>0009029800</t>
        </is>
      </c>
      <c r="B2519" t="inlineStr">
        <is>
          <t>0000100590</t>
        </is>
      </c>
      <c r="C2519" s="3" t="n">
        <v>46019</v>
      </c>
      <c r="D2519" s="3" t="n">
        <v>46049</v>
      </c>
      <c r="E2519" s="4" t="n">
        <v>154.02</v>
      </c>
      <c r="F2519">
        <f>Summary!$B$3-D2519</f>
        <v/>
      </c>
      <c r="G2519">
        <f>IF(D2519&gt;Summary!$B$3,"Current",IF(F2519&lt;=30,"0-30",IF(F2519&lt;=60,"31-60",IF(F2519&lt;=90,"61-90","90+"))))</f>
        <v/>
      </c>
    </row>
    <row r="2520">
      <c r="A2520" t="inlineStr">
        <is>
          <t>0009029801</t>
        </is>
      </c>
      <c r="B2520" t="inlineStr">
        <is>
          <t>0000100202</t>
        </is>
      </c>
      <c r="C2520" s="3" t="n">
        <v>46021</v>
      </c>
      <c r="D2520" s="3" t="n">
        <v>46081</v>
      </c>
      <c r="E2520" s="4" t="n">
        <v>398.06</v>
      </c>
      <c r="F2520">
        <f>Summary!$B$3-D2520</f>
        <v/>
      </c>
      <c r="G2520">
        <f>IF(D2520&gt;Summary!$B$3,"Current",IF(F2520&lt;=30,"0-30",IF(F2520&lt;=60,"31-60",IF(F2520&lt;=90,"61-90","90+"))))</f>
        <v/>
      </c>
    </row>
    <row r="2521">
      <c r="A2521" t="inlineStr">
        <is>
          <t>0009029802</t>
        </is>
      </c>
      <c r="B2521" t="inlineStr">
        <is>
          <t>0000100576</t>
        </is>
      </c>
      <c r="C2521" s="3" t="n">
        <v>46020</v>
      </c>
      <c r="D2521" s="3" t="n">
        <v>46050</v>
      </c>
      <c r="E2521" s="4" t="n">
        <v>3726.02</v>
      </c>
      <c r="F2521">
        <f>Summary!$B$3-D2521</f>
        <v/>
      </c>
      <c r="G2521">
        <f>IF(D2521&gt;Summary!$B$3,"Current",IF(F2521&lt;=30,"0-30",IF(F2521&lt;=60,"31-60",IF(F2521&lt;=90,"61-90","90+"))))</f>
        <v/>
      </c>
    </row>
    <row r="2522">
      <c r="A2522" t="inlineStr">
        <is>
          <t>0009029803</t>
        </is>
      </c>
      <c r="B2522" t="inlineStr">
        <is>
          <t>0000100111</t>
        </is>
      </c>
      <c r="C2522" s="3" t="n">
        <v>46021</v>
      </c>
      <c r="D2522" s="3" t="n">
        <v>46066</v>
      </c>
      <c r="E2522" s="4" t="n">
        <v>877.6</v>
      </c>
      <c r="F2522">
        <f>Summary!$B$3-D2522</f>
        <v/>
      </c>
      <c r="G2522">
        <f>IF(D2522&gt;Summary!$B$3,"Current",IF(F2522&lt;=30,"0-30",IF(F2522&lt;=60,"31-60",IF(F2522&lt;=90,"61-90","90+"))))</f>
        <v/>
      </c>
    </row>
    <row r="2523">
      <c r="A2523" t="inlineStr">
        <is>
          <t>0009029804</t>
        </is>
      </c>
      <c r="B2523" t="inlineStr">
        <is>
          <t>0000100244</t>
        </is>
      </c>
      <c r="C2523" s="3" t="n">
        <v>46022</v>
      </c>
      <c r="D2523" s="3" t="n">
        <v>46052</v>
      </c>
      <c r="E2523" s="4" t="n">
        <v>626.85</v>
      </c>
      <c r="F2523">
        <f>Summary!$B$3-D2523</f>
        <v/>
      </c>
      <c r="G2523">
        <f>IF(D2523&gt;Summary!$B$3,"Current",IF(F2523&lt;=30,"0-30",IF(F2523&lt;=60,"31-60",IF(F2523&lt;=90,"61-90","90+"))))</f>
        <v/>
      </c>
    </row>
    <row r="2524">
      <c r="A2524" t="inlineStr">
        <is>
          <t>0009029805</t>
        </is>
      </c>
      <c r="B2524" t="inlineStr">
        <is>
          <t>0000100345</t>
        </is>
      </c>
      <c r="C2524" s="3" t="n">
        <v>46022</v>
      </c>
      <c r="D2524" s="3" t="n">
        <v>46052</v>
      </c>
      <c r="E2524" s="4" t="n">
        <v>702.1799999999999</v>
      </c>
      <c r="F2524">
        <f>Summary!$B$3-D2524</f>
        <v/>
      </c>
      <c r="G2524">
        <f>IF(D2524&gt;Summary!$B$3,"Current",IF(F2524&lt;=30,"0-30",IF(F2524&lt;=60,"31-60",IF(F2524&lt;=90,"61-90","90+"))))</f>
        <v/>
      </c>
    </row>
    <row r="2525">
      <c r="A2525" t="inlineStr">
        <is>
          <t>0009029806</t>
        </is>
      </c>
      <c r="B2525" t="inlineStr">
        <is>
          <t>0000100357</t>
        </is>
      </c>
      <c r="C2525" s="3" t="n">
        <v>46017</v>
      </c>
      <c r="D2525" s="3" t="n">
        <v>46062</v>
      </c>
      <c r="E2525" s="4" t="n">
        <v>3240.66</v>
      </c>
      <c r="F2525">
        <f>Summary!$B$3-D2525</f>
        <v/>
      </c>
      <c r="G2525">
        <f>IF(D2525&gt;Summary!$B$3,"Current",IF(F2525&lt;=30,"0-30",IF(F2525&lt;=60,"31-60",IF(F2525&lt;=90,"61-90","90+"))))</f>
        <v/>
      </c>
    </row>
    <row r="2526">
      <c r="A2526" t="inlineStr">
        <is>
          <t>0009029807</t>
        </is>
      </c>
      <c r="B2526" t="inlineStr">
        <is>
          <t>0000100243</t>
        </is>
      </c>
      <c r="C2526" s="3" t="n">
        <v>46020</v>
      </c>
      <c r="D2526" s="3" t="n">
        <v>46050</v>
      </c>
      <c r="E2526" s="4" t="n">
        <v>606.55</v>
      </c>
      <c r="F2526">
        <f>Summary!$B$3-D2526</f>
        <v/>
      </c>
      <c r="G2526">
        <f>IF(D2526&gt;Summary!$B$3,"Current",IF(F2526&lt;=30,"0-30",IF(F2526&lt;=60,"31-60",IF(F2526&lt;=90,"61-90","90+"))))</f>
        <v/>
      </c>
    </row>
    <row r="2527">
      <c r="A2527" t="inlineStr">
        <is>
          <t>0009029808</t>
        </is>
      </c>
      <c r="B2527" t="inlineStr">
        <is>
          <t>0000100269</t>
        </is>
      </c>
      <c r="C2527" s="3" t="n">
        <v>46022</v>
      </c>
      <c r="D2527" s="3" t="n">
        <v>46052</v>
      </c>
      <c r="E2527" s="4" t="n">
        <v>2667.49</v>
      </c>
      <c r="F2527">
        <f>Summary!$B$3-D2527</f>
        <v/>
      </c>
      <c r="G2527">
        <f>IF(D2527&gt;Summary!$B$3,"Current",IF(F2527&lt;=30,"0-30",IF(F2527&lt;=60,"31-60",IF(F2527&lt;=90,"61-90","90+"))))</f>
        <v/>
      </c>
    </row>
    <row r="2528">
      <c r="A2528" t="inlineStr">
        <is>
          <t>0009029809</t>
        </is>
      </c>
      <c r="B2528" t="inlineStr">
        <is>
          <t>0000100074</t>
        </is>
      </c>
      <c r="C2528" s="3" t="n">
        <v>46017</v>
      </c>
      <c r="D2528" s="3" t="n">
        <v>46062</v>
      </c>
      <c r="E2528" s="4" t="n">
        <v>3826.97</v>
      </c>
      <c r="F2528">
        <f>Summary!$B$3-D2528</f>
        <v/>
      </c>
      <c r="G2528">
        <f>IF(D2528&gt;Summary!$B$3,"Current",IF(F2528&lt;=30,"0-30",IF(F2528&lt;=60,"31-60",IF(F2528&lt;=90,"61-90","90+"))))</f>
        <v/>
      </c>
    </row>
    <row r="2529">
      <c r="A2529" t="inlineStr">
        <is>
          <t>0009029810</t>
        </is>
      </c>
      <c r="B2529" t="inlineStr">
        <is>
          <t>0000100513</t>
        </is>
      </c>
      <c r="C2529" s="3" t="n">
        <v>46019</v>
      </c>
      <c r="D2529" s="3" t="n">
        <v>46079</v>
      </c>
      <c r="E2529" s="4" t="n">
        <v>823.42</v>
      </c>
      <c r="F2529">
        <f>Summary!$B$3-D2529</f>
        <v/>
      </c>
      <c r="G2529">
        <f>IF(D2529&gt;Summary!$B$3,"Current",IF(F2529&lt;=30,"0-30",IF(F2529&lt;=60,"31-60",IF(F2529&lt;=90,"61-90","90+"))))</f>
        <v/>
      </c>
    </row>
    <row r="2530">
      <c r="A2530" t="inlineStr">
        <is>
          <t>0009029811</t>
        </is>
      </c>
      <c r="B2530" t="inlineStr">
        <is>
          <t>0000100278</t>
        </is>
      </c>
      <c r="C2530" s="3" t="n">
        <v>46022</v>
      </c>
      <c r="D2530" s="3" t="n">
        <v>46067</v>
      </c>
      <c r="E2530" s="4" t="n">
        <v>1094.03</v>
      </c>
      <c r="F2530">
        <f>Summary!$B$3-D2530</f>
        <v/>
      </c>
      <c r="G2530">
        <f>IF(D2530&gt;Summary!$B$3,"Current",IF(F2530&lt;=30,"0-30",IF(F2530&lt;=60,"31-60",IF(F2530&lt;=90,"61-90","90+"))))</f>
        <v/>
      </c>
    </row>
    <row r="2531">
      <c r="A2531" t="inlineStr">
        <is>
          <t>0009029812</t>
        </is>
      </c>
      <c r="B2531" t="inlineStr">
        <is>
          <t>0000100049</t>
        </is>
      </c>
      <c r="C2531" s="3" t="n">
        <v>46022</v>
      </c>
      <c r="D2531" s="3" t="n">
        <v>46052</v>
      </c>
      <c r="E2531" s="4" t="n">
        <v>263.97</v>
      </c>
      <c r="F2531">
        <f>Summary!$B$3-D2531</f>
        <v/>
      </c>
      <c r="G2531">
        <f>IF(D2531&gt;Summary!$B$3,"Current",IF(F2531&lt;=30,"0-30",IF(F2531&lt;=60,"31-60",IF(F2531&lt;=90,"61-90","90+"))))</f>
        <v/>
      </c>
    </row>
    <row r="2532">
      <c r="A2532" t="inlineStr">
        <is>
          <t>0009029813</t>
        </is>
      </c>
      <c r="B2532" t="inlineStr">
        <is>
          <t>0000100269</t>
        </is>
      </c>
      <c r="C2532" s="3" t="n">
        <v>46019</v>
      </c>
      <c r="D2532" s="3" t="n">
        <v>46049</v>
      </c>
      <c r="E2532" s="4" t="n">
        <v>934.96</v>
      </c>
      <c r="F2532">
        <f>Summary!$B$3-D2532</f>
        <v/>
      </c>
      <c r="G2532">
        <f>IF(D2532&gt;Summary!$B$3,"Current",IF(F2532&lt;=30,"0-30",IF(F2532&lt;=60,"31-60",IF(F2532&lt;=90,"61-90","90+"))))</f>
        <v/>
      </c>
    </row>
    <row r="2533">
      <c r="A2533" t="inlineStr">
        <is>
          <t>0009029814</t>
        </is>
      </c>
      <c r="B2533" t="inlineStr">
        <is>
          <t>0000100352</t>
        </is>
      </c>
      <c r="C2533" s="3" t="n">
        <v>46021</v>
      </c>
      <c r="D2533" s="3" t="n">
        <v>46051</v>
      </c>
      <c r="E2533" s="4" t="n">
        <v>608.3</v>
      </c>
      <c r="F2533">
        <f>Summary!$B$3-D2533</f>
        <v/>
      </c>
      <c r="G2533">
        <f>IF(D2533&gt;Summary!$B$3,"Current",IF(F2533&lt;=30,"0-30",IF(F2533&lt;=60,"31-60",IF(F2533&lt;=90,"61-90","90+"))))</f>
        <v/>
      </c>
    </row>
    <row r="2534">
      <c r="A2534" t="inlineStr">
        <is>
          <t>0009029815</t>
        </is>
      </c>
      <c r="B2534" t="inlineStr">
        <is>
          <t>0000100164</t>
        </is>
      </c>
      <c r="C2534" s="3" t="n">
        <v>46021</v>
      </c>
      <c r="D2534" s="3" t="n">
        <v>46081</v>
      </c>
      <c r="E2534" s="4" t="n">
        <v>95.2</v>
      </c>
      <c r="F2534">
        <f>Summary!$B$3-D2534</f>
        <v/>
      </c>
      <c r="G2534">
        <f>IF(D2534&gt;Summary!$B$3,"Current",IF(F2534&lt;=30,"0-30",IF(F2534&lt;=60,"31-60",IF(F2534&lt;=90,"61-90","90+"))))</f>
        <v/>
      </c>
    </row>
    <row r="2535">
      <c r="A2535" t="inlineStr">
        <is>
          <t>0009029816</t>
        </is>
      </c>
      <c r="B2535" t="inlineStr">
        <is>
          <t>0000100580</t>
        </is>
      </c>
      <c r="C2535" s="3" t="n">
        <v>46019</v>
      </c>
      <c r="D2535" s="3" t="n">
        <v>46064</v>
      </c>
      <c r="E2535" s="4" t="n">
        <v>461.27</v>
      </c>
      <c r="F2535">
        <f>Summary!$B$3-D2535</f>
        <v/>
      </c>
      <c r="G2535">
        <f>IF(D2535&gt;Summary!$B$3,"Current",IF(F2535&lt;=30,"0-30",IF(F2535&lt;=60,"31-60",IF(F2535&lt;=90,"61-90","90+"))))</f>
        <v/>
      </c>
    </row>
    <row r="2536">
      <c r="A2536" t="inlineStr">
        <is>
          <t>0009029817</t>
        </is>
      </c>
      <c r="B2536" t="inlineStr">
        <is>
          <t>0000100390</t>
        </is>
      </c>
      <c r="C2536" s="3" t="n">
        <v>46022</v>
      </c>
      <c r="D2536" s="3" t="n">
        <v>46067</v>
      </c>
      <c r="E2536" s="4" t="n">
        <v>2647.96</v>
      </c>
      <c r="F2536">
        <f>Summary!$B$3-D2536</f>
        <v/>
      </c>
      <c r="G2536">
        <f>IF(D2536&gt;Summary!$B$3,"Current",IF(F2536&lt;=30,"0-30",IF(F2536&lt;=60,"31-60",IF(F2536&lt;=90,"61-90","90+"))))</f>
        <v/>
      </c>
    </row>
    <row r="2537">
      <c r="A2537" t="inlineStr">
        <is>
          <t>0009029818</t>
        </is>
      </c>
      <c r="B2537" t="inlineStr">
        <is>
          <t>0000100429</t>
        </is>
      </c>
      <c r="C2537" s="3" t="n">
        <v>46021</v>
      </c>
      <c r="D2537" s="3" t="n">
        <v>46051</v>
      </c>
      <c r="E2537" s="4" t="n">
        <v>434.88</v>
      </c>
      <c r="F2537">
        <f>Summary!$B$3-D2537</f>
        <v/>
      </c>
      <c r="G2537">
        <f>IF(D2537&gt;Summary!$B$3,"Current",IF(F2537&lt;=30,"0-30",IF(F2537&lt;=60,"31-60",IF(F2537&lt;=90,"61-90","90+"))))</f>
        <v/>
      </c>
    </row>
    <row r="2538">
      <c r="A2538" t="inlineStr">
        <is>
          <t>0009029819</t>
        </is>
      </c>
      <c r="B2538" t="inlineStr">
        <is>
          <t>0000100364</t>
        </is>
      </c>
      <c r="C2538" s="3" t="n">
        <v>46020</v>
      </c>
      <c r="D2538" s="3" t="n">
        <v>46080</v>
      </c>
      <c r="E2538" s="4" t="n">
        <v>2123.77</v>
      </c>
      <c r="F2538">
        <f>Summary!$B$3-D2538</f>
        <v/>
      </c>
      <c r="G2538">
        <f>IF(D2538&gt;Summary!$B$3,"Current",IF(F2538&lt;=30,"0-30",IF(F2538&lt;=60,"31-60",IF(F2538&lt;=90,"61-90","90+"))))</f>
        <v/>
      </c>
    </row>
    <row r="2539">
      <c r="A2539" t="inlineStr">
        <is>
          <t>0009029820</t>
        </is>
      </c>
      <c r="B2539" t="inlineStr">
        <is>
          <t>0000100028</t>
        </is>
      </c>
      <c r="C2539" s="3" t="n">
        <v>46020</v>
      </c>
      <c r="D2539" s="3" t="n">
        <v>46065</v>
      </c>
      <c r="E2539" s="4" t="n">
        <v>704.66</v>
      </c>
      <c r="F2539">
        <f>Summary!$B$3-D2539</f>
        <v/>
      </c>
      <c r="G2539">
        <f>IF(D2539&gt;Summary!$B$3,"Current",IF(F2539&lt;=30,"0-30",IF(F2539&lt;=60,"31-60",IF(F2539&lt;=90,"61-90","90+"))))</f>
        <v/>
      </c>
    </row>
    <row r="2540">
      <c r="A2540" t="inlineStr">
        <is>
          <t>0009029821</t>
        </is>
      </c>
      <c r="B2540" t="inlineStr">
        <is>
          <t>0000100196</t>
        </is>
      </c>
      <c r="C2540" s="3" t="n">
        <v>46022</v>
      </c>
      <c r="D2540" s="3" t="n">
        <v>46052</v>
      </c>
      <c r="E2540" s="4" t="n">
        <v>354.22</v>
      </c>
      <c r="F2540">
        <f>Summary!$B$3-D2540</f>
        <v/>
      </c>
      <c r="G2540">
        <f>IF(D2540&gt;Summary!$B$3,"Current",IF(F2540&lt;=30,"0-30",IF(F2540&lt;=60,"31-60",IF(F2540&lt;=90,"61-90","90+"))))</f>
        <v/>
      </c>
    </row>
    <row r="2541">
      <c r="A2541" t="inlineStr">
        <is>
          <t>0009029822</t>
        </is>
      </c>
      <c r="B2541" t="inlineStr">
        <is>
          <t>0000100047</t>
        </is>
      </c>
      <c r="C2541" s="3" t="n">
        <v>46022</v>
      </c>
      <c r="D2541" s="3" t="n">
        <v>46067</v>
      </c>
      <c r="E2541" s="4" t="n">
        <v>274.6</v>
      </c>
      <c r="F2541">
        <f>Summary!$B$3-D2541</f>
        <v/>
      </c>
      <c r="G2541">
        <f>IF(D2541&gt;Summary!$B$3,"Current",IF(F2541&lt;=30,"0-30",IF(F2541&lt;=60,"31-60",IF(F2541&lt;=90,"61-90","90+"))))</f>
        <v/>
      </c>
    </row>
    <row r="2542">
      <c r="A2542" t="inlineStr">
        <is>
          <t>0009029823</t>
        </is>
      </c>
      <c r="B2542" t="inlineStr">
        <is>
          <t>0000100268</t>
        </is>
      </c>
      <c r="C2542" s="3" t="n">
        <v>46021</v>
      </c>
      <c r="D2542" s="3" t="n">
        <v>46051</v>
      </c>
      <c r="E2542" s="4" t="n">
        <v>1384.47</v>
      </c>
      <c r="F2542">
        <f>Summary!$B$3-D2542</f>
        <v/>
      </c>
      <c r="G2542">
        <f>IF(D2542&gt;Summary!$B$3,"Current",IF(F2542&lt;=30,"0-30",IF(F2542&lt;=60,"31-60",IF(F2542&lt;=90,"61-90","90+"))))</f>
        <v/>
      </c>
    </row>
    <row r="2543">
      <c r="A2543" t="inlineStr">
        <is>
          <t>0009029824</t>
        </is>
      </c>
      <c r="B2543" t="inlineStr">
        <is>
          <t>0000100106</t>
        </is>
      </c>
      <c r="C2543" s="3" t="n">
        <v>46020</v>
      </c>
      <c r="D2543" s="3" t="n">
        <v>46065</v>
      </c>
      <c r="E2543" s="4" t="n">
        <v>653.88</v>
      </c>
      <c r="F2543">
        <f>Summary!$B$3-D2543</f>
        <v/>
      </c>
      <c r="G2543">
        <f>IF(D2543&gt;Summary!$B$3,"Current",IF(F2543&lt;=30,"0-30",IF(F2543&lt;=60,"31-60",IF(F2543&lt;=90,"61-90","90+"))))</f>
        <v/>
      </c>
    </row>
    <row r="2544">
      <c r="A2544" t="inlineStr">
        <is>
          <t>0009029826</t>
        </is>
      </c>
      <c r="B2544" t="inlineStr">
        <is>
          <t>0000100591</t>
        </is>
      </c>
      <c r="C2544" s="3" t="n">
        <v>46021</v>
      </c>
      <c r="D2544" s="3" t="n">
        <v>46051</v>
      </c>
      <c r="E2544" s="4" t="n">
        <v>390.1</v>
      </c>
      <c r="F2544">
        <f>Summary!$B$3-D2544</f>
        <v/>
      </c>
      <c r="G2544">
        <f>IF(D2544&gt;Summary!$B$3,"Current",IF(F2544&lt;=30,"0-30",IF(F2544&lt;=60,"31-60",IF(F2544&lt;=90,"61-90","90+"))))</f>
        <v/>
      </c>
    </row>
    <row r="2545">
      <c r="A2545" t="inlineStr">
        <is>
          <t>0009029827</t>
        </is>
      </c>
      <c r="B2545" t="inlineStr">
        <is>
          <t>0000100450</t>
        </is>
      </c>
      <c r="C2545" s="3" t="n">
        <v>46022</v>
      </c>
      <c r="D2545" s="3" t="n">
        <v>46067</v>
      </c>
      <c r="E2545" s="4" t="n">
        <v>1062.24</v>
      </c>
      <c r="F2545">
        <f>Summary!$B$3-D2545</f>
        <v/>
      </c>
      <c r="G2545">
        <f>IF(D2545&gt;Summary!$B$3,"Current",IF(F2545&lt;=30,"0-30",IF(F2545&lt;=60,"31-60",IF(F2545&lt;=90,"61-90","90+"))))</f>
        <v/>
      </c>
    </row>
    <row r="2546">
      <c r="A2546" t="inlineStr">
        <is>
          <t>0009029828</t>
        </is>
      </c>
      <c r="B2546" t="inlineStr">
        <is>
          <t>0000100490</t>
        </is>
      </c>
      <c r="C2546" s="3" t="n">
        <v>46021</v>
      </c>
      <c r="D2546" s="3" t="n">
        <v>46051</v>
      </c>
      <c r="E2546" s="4" t="n">
        <v>2335.57</v>
      </c>
      <c r="F2546">
        <f>Summary!$B$3-D2546</f>
        <v/>
      </c>
      <c r="G2546">
        <f>IF(D2546&gt;Summary!$B$3,"Current",IF(F2546&lt;=30,"0-30",IF(F2546&lt;=60,"31-60",IF(F2546&lt;=90,"61-90","90+"))))</f>
        <v/>
      </c>
    </row>
    <row r="2547">
      <c r="A2547" t="inlineStr">
        <is>
          <t>0009029829</t>
        </is>
      </c>
      <c r="B2547" t="inlineStr">
        <is>
          <t>0000100434</t>
        </is>
      </c>
      <c r="C2547" s="3" t="n">
        <v>46022</v>
      </c>
      <c r="D2547" s="3" t="n">
        <v>46052</v>
      </c>
      <c r="E2547" s="4" t="n">
        <v>255.2</v>
      </c>
      <c r="F2547">
        <f>Summary!$B$3-D2547</f>
        <v/>
      </c>
      <c r="G2547">
        <f>IF(D2547&gt;Summary!$B$3,"Current",IF(F2547&lt;=30,"0-30",IF(F2547&lt;=60,"31-60",IF(F2547&lt;=90,"61-90","90+"))))</f>
        <v/>
      </c>
    </row>
    <row r="2548">
      <c r="A2548" t="inlineStr">
        <is>
          <t>0009029830</t>
        </is>
      </c>
      <c r="B2548" t="inlineStr">
        <is>
          <t>0000100393</t>
        </is>
      </c>
      <c r="C2548" s="3" t="n">
        <v>46019</v>
      </c>
      <c r="D2548" s="3" t="n">
        <v>46049</v>
      </c>
      <c r="E2548" s="4" t="n">
        <v>1414.46</v>
      </c>
      <c r="F2548">
        <f>Summary!$B$3-D2548</f>
        <v/>
      </c>
      <c r="G2548">
        <f>IF(D2548&gt;Summary!$B$3,"Current",IF(F2548&lt;=30,"0-30",IF(F2548&lt;=60,"31-60",IF(F2548&lt;=90,"61-90","90+"))))</f>
        <v/>
      </c>
    </row>
    <row r="2549">
      <c r="A2549" t="inlineStr">
        <is>
          <t>0009029831</t>
        </is>
      </c>
      <c r="B2549" t="inlineStr">
        <is>
          <t>0000100141</t>
        </is>
      </c>
      <c r="C2549" s="3" t="n">
        <v>46021</v>
      </c>
      <c r="D2549" s="3" t="n">
        <v>46051</v>
      </c>
      <c r="E2549" s="4" t="n">
        <v>234.26</v>
      </c>
      <c r="F2549">
        <f>Summary!$B$3-D2549</f>
        <v/>
      </c>
      <c r="G2549">
        <f>IF(D2549&gt;Summary!$B$3,"Current",IF(F2549&lt;=30,"0-30",IF(F2549&lt;=60,"31-60",IF(F2549&lt;=90,"61-90","90+"))))</f>
        <v/>
      </c>
    </row>
    <row r="2550">
      <c r="A2550" t="inlineStr">
        <is>
          <t>0009029832</t>
        </is>
      </c>
      <c r="B2550" t="inlineStr">
        <is>
          <t>0000100000</t>
        </is>
      </c>
      <c r="C2550" s="3" t="n">
        <v>46022</v>
      </c>
      <c r="D2550" s="3" t="n">
        <v>46052</v>
      </c>
      <c r="E2550" s="4" t="n">
        <v>1944.4</v>
      </c>
      <c r="F2550">
        <f>Summary!$B$3-D2550</f>
        <v/>
      </c>
      <c r="G2550">
        <f>IF(D2550&gt;Summary!$B$3,"Current",IF(F2550&lt;=30,"0-30",IF(F2550&lt;=60,"31-60",IF(F2550&lt;=90,"61-90","90+"))))</f>
        <v/>
      </c>
    </row>
    <row r="2551">
      <c r="A2551" t="inlineStr">
        <is>
          <t>0009029833</t>
        </is>
      </c>
      <c r="B2551" t="inlineStr">
        <is>
          <t>0000100071</t>
        </is>
      </c>
      <c r="C2551" s="3" t="n">
        <v>46021</v>
      </c>
      <c r="D2551" s="3" t="n">
        <v>46066</v>
      </c>
      <c r="E2551" s="4" t="n">
        <v>616.9400000000001</v>
      </c>
      <c r="F2551">
        <f>Summary!$B$3-D2551</f>
        <v/>
      </c>
      <c r="G2551">
        <f>IF(D2551&gt;Summary!$B$3,"Current",IF(F2551&lt;=30,"0-30",IF(F2551&lt;=60,"31-60",IF(F2551&lt;=90,"61-90","90+"))))</f>
        <v/>
      </c>
    </row>
    <row r="2552">
      <c r="A2552" t="inlineStr">
        <is>
          <t>0009029834</t>
        </is>
      </c>
      <c r="B2552" t="inlineStr">
        <is>
          <t>0000100293</t>
        </is>
      </c>
      <c r="C2552" s="3" t="n">
        <v>46022</v>
      </c>
      <c r="D2552" s="3" t="n">
        <v>46052</v>
      </c>
      <c r="E2552" s="4" t="n">
        <v>457.11</v>
      </c>
      <c r="F2552">
        <f>Summary!$B$3-D2552</f>
        <v/>
      </c>
      <c r="G2552">
        <f>IF(D2552&gt;Summary!$B$3,"Current",IF(F2552&lt;=30,"0-30",IF(F2552&lt;=60,"31-60",IF(F2552&lt;=90,"61-90","90+"))))</f>
        <v/>
      </c>
    </row>
    <row r="2553">
      <c r="A2553" t="inlineStr">
        <is>
          <t>0009029835</t>
        </is>
      </c>
      <c r="B2553" t="inlineStr">
        <is>
          <t>0000100404</t>
        </is>
      </c>
      <c r="C2553" s="3" t="n">
        <v>46021</v>
      </c>
      <c r="D2553" s="3" t="n">
        <v>46066</v>
      </c>
      <c r="E2553" s="4" t="n">
        <v>2424.84</v>
      </c>
      <c r="F2553">
        <f>Summary!$B$3-D2553</f>
        <v/>
      </c>
      <c r="G2553">
        <f>IF(D2553&gt;Summary!$B$3,"Current",IF(F2553&lt;=30,"0-30",IF(F2553&lt;=60,"31-60",IF(F2553&lt;=90,"61-90","90+"))))</f>
        <v/>
      </c>
    </row>
    <row r="2554">
      <c r="A2554" t="inlineStr">
        <is>
          <t>0009029836</t>
        </is>
      </c>
      <c r="B2554" t="inlineStr">
        <is>
          <t>0000100339</t>
        </is>
      </c>
      <c r="C2554" s="3" t="n">
        <v>46021</v>
      </c>
      <c r="D2554" s="3" t="n">
        <v>46051</v>
      </c>
      <c r="E2554" s="4" t="n">
        <v>712.98</v>
      </c>
      <c r="F2554">
        <f>Summary!$B$3-D2554</f>
        <v/>
      </c>
      <c r="G2554">
        <f>IF(D2554&gt;Summary!$B$3,"Current",IF(F2554&lt;=30,"0-30",IF(F2554&lt;=60,"31-60",IF(F2554&lt;=90,"61-90","90+"))))</f>
        <v/>
      </c>
    </row>
    <row r="2555">
      <c r="A2555" t="inlineStr">
        <is>
          <t>0009029837</t>
        </is>
      </c>
      <c r="B2555" t="inlineStr">
        <is>
          <t>0000100344</t>
        </is>
      </c>
      <c r="C2555" s="3" t="n">
        <v>46019</v>
      </c>
      <c r="D2555" s="3" t="n">
        <v>46049</v>
      </c>
      <c r="E2555" s="4" t="n">
        <v>1675.83</v>
      </c>
      <c r="F2555">
        <f>Summary!$B$3-D2555</f>
        <v/>
      </c>
      <c r="G2555">
        <f>IF(D2555&gt;Summary!$B$3,"Current",IF(F2555&lt;=30,"0-30",IF(F2555&lt;=60,"31-60",IF(F2555&lt;=90,"61-90","90+"))))</f>
        <v/>
      </c>
    </row>
    <row r="2556">
      <c r="A2556" t="inlineStr">
        <is>
          <t>0009029838</t>
        </is>
      </c>
      <c r="B2556" t="inlineStr">
        <is>
          <t>0000100258</t>
        </is>
      </c>
      <c r="C2556" s="3" t="n">
        <v>46022</v>
      </c>
      <c r="D2556" s="3" t="n">
        <v>46052</v>
      </c>
      <c r="E2556" s="4" t="n">
        <v>918.96</v>
      </c>
      <c r="F2556">
        <f>Summary!$B$3-D2556</f>
        <v/>
      </c>
      <c r="G2556">
        <f>IF(D2556&gt;Summary!$B$3,"Current",IF(F2556&lt;=30,"0-30",IF(F2556&lt;=60,"31-60",IF(F2556&lt;=90,"61-90","90+"))))</f>
        <v/>
      </c>
    </row>
  </sheetData>
  <conditionalFormatting sqref="F2:F2556">
    <cfRule type="cellIs" priority="1" operator="greaterThan" dxfId="0">
      <formula>90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7" t="inlineStr">
        <is>
          <t>Bucket</t>
        </is>
      </c>
      <c r="B1" s="7" t="inlineStr">
        <is>
          <t>Invoices</t>
        </is>
      </c>
      <c r="C1" s="7" t="inlineStr">
        <is>
          <t>Amount</t>
        </is>
      </c>
      <c r="D1" s="7" t="inlineStr">
        <is>
          <t>% of open AR</t>
        </is>
      </c>
    </row>
    <row r="2">
      <c r="A2" t="inlineStr">
        <is>
          <t>Current</t>
        </is>
      </c>
      <c r="B2">
        <f>COUNTIFS(AR_Open!$G$2:$G$2556,A2)</f>
        <v/>
      </c>
      <c r="C2" s="4">
        <f>SUMIFS(AR_Open!$E$2:$E$2556,AR_Open!$G$2:$G$2556,A2)</f>
        <v/>
      </c>
      <c r="D2" s="5">
        <f>IFERROR(C2/$C$7,0)</f>
        <v/>
      </c>
    </row>
    <row r="3">
      <c r="A3" t="inlineStr">
        <is>
          <t>0-30</t>
        </is>
      </c>
      <c r="B3">
        <f>COUNTIFS(AR_Open!$G$2:$G$2556,A3)</f>
        <v/>
      </c>
      <c r="C3" s="4">
        <f>SUMIFS(AR_Open!$E$2:$E$2556,AR_Open!$G$2:$G$2556,A3)</f>
        <v/>
      </c>
      <c r="D3" s="5">
        <f>IFERROR(C3/$C$7,0)</f>
        <v/>
      </c>
    </row>
    <row r="4">
      <c r="A4" t="inlineStr">
        <is>
          <t>31-60</t>
        </is>
      </c>
      <c r="B4">
        <f>COUNTIFS(AR_Open!$G$2:$G$2556,A4)</f>
        <v/>
      </c>
      <c r="C4" s="4">
        <f>SUMIFS(AR_Open!$E$2:$E$2556,AR_Open!$G$2:$G$2556,A4)</f>
        <v/>
      </c>
      <c r="D4" s="5">
        <f>IFERROR(C4/$C$7,0)</f>
        <v/>
      </c>
    </row>
    <row r="5">
      <c r="A5" t="inlineStr">
        <is>
          <t>61-90</t>
        </is>
      </c>
      <c r="B5">
        <f>COUNTIFS(AR_Open!$G$2:$G$2556,A5)</f>
        <v/>
      </c>
      <c r="C5" s="4">
        <f>SUMIFS(AR_Open!$E$2:$E$2556,AR_Open!$G$2:$G$2556,A5)</f>
        <v/>
      </c>
      <c r="D5" s="5">
        <f>IFERROR(C5/$C$7,0)</f>
        <v/>
      </c>
    </row>
    <row r="6">
      <c r="A6" t="inlineStr">
        <is>
          <t>90+</t>
        </is>
      </c>
      <c r="B6">
        <f>COUNTIFS(AR_Open!$G$2:$G$2556,A6)</f>
        <v/>
      </c>
      <c r="C6" s="4">
        <f>SUMIFS(AR_Open!$E$2:$E$2556,AR_Open!$G$2:$G$2556,A6)</f>
        <v/>
      </c>
      <c r="D6" s="5">
        <f>IFERROR(C6/$C$7,0)</f>
        <v/>
      </c>
    </row>
    <row r="7">
      <c r="A7" s="8" t="inlineStr">
        <is>
          <t>Total</t>
        </is>
      </c>
      <c r="B7" s="8">
        <f>SUM(B2:B6)</f>
        <v/>
      </c>
      <c r="C7" s="9">
        <f>SUM(C2:C6)</f>
        <v/>
      </c>
      <c r="D7" s="10">
        <f>SUM(D2:D6)</f>
        <v/>
      </c>
    </row>
  </sheetData>
  <conditionalFormatting sqref="C2:C6">
    <cfRule type="colorScale" priority="1">
      <colorScale>
        <cfvo type="min"/>
        <cfvo type="max"/>
        <color rgb="00FFFFFF"/>
        <color rgb="00F4B183"/>
      </colorScale>
    </cfRule>
  </conditionalFormatting>
  <conditionalFormatting sqref="A6:D6">
    <cfRule type="expression" priority="2" dxfId="0">
      <formula>$C$6&gt;0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7" t="inlineStr">
        <is>
          <t>Month end</t>
        </is>
      </c>
      <c r="B1" s="7" t="inlineStr">
        <is>
          <t>Open AR</t>
        </is>
      </c>
      <c r="C1" s="7" t="inlineStr">
        <is>
          <t>Credit sales (trailing 90d)</t>
        </is>
      </c>
      <c r="D1" s="7" t="inlineStr">
        <is>
          <t>DSO (days)</t>
        </is>
      </c>
    </row>
    <row r="2">
      <c r="A2" s="3" t="n">
        <v>44957</v>
      </c>
      <c r="B2" s="4" t="n">
        <v>538321.5600000001</v>
      </c>
      <c r="C2" s="4" t="n">
        <v>542089.24</v>
      </c>
      <c r="D2">
        <f>ROUND(B2/C2*90,2)</f>
        <v/>
      </c>
    </row>
    <row r="3">
      <c r="A3" s="3" t="n">
        <v>44985</v>
      </c>
      <c r="B3" s="4" t="n">
        <v>1022654.62</v>
      </c>
      <c r="C3" s="4" t="n">
        <v>1229299.99</v>
      </c>
      <c r="D3">
        <f>ROUND(B3/C3*90,2)</f>
        <v/>
      </c>
    </row>
    <row r="4">
      <c r="A4" s="3" t="n">
        <v>45016</v>
      </c>
      <c r="B4" s="4" t="n">
        <v>1214626.93</v>
      </c>
      <c r="C4" s="4" t="n">
        <v>2025660.48</v>
      </c>
      <c r="D4">
        <f>ROUND(B4/C4*90,2)</f>
        <v/>
      </c>
    </row>
    <row r="5">
      <c r="A5" s="3" t="n">
        <v>45046</v>
      </c>
      <c r="B5" s="4" t="n">
        <v>1420486.32</v>
      </c>
      <c r="C5" s="4" t="n">
        <v>2434791.19</v>
      </c>
      <c r="D5">
        <f>ROUND(B5/C5*90,2)</f>
        <v/>
      </c>
    </row>
    <row r="6">
      <c r="A6" s="3" t="n">
        <v>45077</v>
      </c>
      <c r="B6" s="4" t="n">
        <v>1418985.87</v>
      </c>
      <c r="C6" s="4" t="n">
        <v>2489968.11</v>
      </c>
      <c r="D6">
        <f>ROUND(B6/C6*90,2)</f>
        <v/>
      </c>
    </row>
    <row r="7">
      <c r="A7" s="3" t="n">
        <v>45107</v>
      </c>
      <c r="B7" s="4" t="n">
        <v>1522454.41</v>
      </c>
      <c r="C7" s="4" t="n">
        <v>2692598.5</v>
      </c>
      <c r="D7">
        <f>ROUND(B7/C7*90,2)</f>
        <v/>
      </c>
    </row>
    <row r="8">
      <c r="A8" s="3" t="n">
        <v>45138</v>
      </c>
      <c r="B8" s="4" t="n">
        <v>1357174.17</v>
      </c>
      <c r="C8" s="4" t="n">
        <v>2502417.24</v>
      </c>
      <c r="D8">
        <f>ROUND(B8/C8*90,2)</f>
        <v/>
      </c>
    </row>
    <row r="9">
      <c r="A9" s="3" t="n">
        <v>45169</v>
      </c>
      <c r="B9" s="4" t="n">
        <v>1267262.95</v>
      </c>
      <c r="C9" s="4" t="n">
        <v>2424036.03</v>
      </c>
      <c r="D9">
        <f>ROUND(B9/C9*90,2)</f>
        <v/>
      </c>
    </row>
    <row r="10">
      <c r="A10" s="3" t="n">
        <v>45199</v>
      </c>
      <c r="B10" s="4" t="n">
        <v>1395261.4</v>
      </c>
      <c r="C10" s="4" t="n">
        <v>2313259.89</v>
      </c>
      <c r="D10">
        <f>ROUND(B10/C10*90,2)</f>
        <v/>
      </c>
    </row>
    <row r="11">
      <c r="A11" s="3" t="n">
        <v>45230</v>
      </c>
      <c r="B11" s="4" t="n">
        <v>1558234.64</v>
      </c>
      <c r="C11" s="4" t="n">
        <v>2519317.36</v>
      </c>
      <c r="D11">
        <f>ROUND(B11/C11*90,2)</f>
        <v/>
      </c>
    </row>
    <row r="12">
      <c r="A12" s="3" t="n">
        <v>45260</v>
      </c>
      <c r="B12" s="4" t="n">
        <v>1803697.24</v>
      </c>
      <c r="C12" s="4" t="n">
        <v>2907017.58</v>
      </c>
      <c r="D12">
        <f>ROUND(B12/C12*90,2)</f>
        <v/>
      </c>
    </row>
    <row r="13">
      <c r="A13" s="3" t="n">
        <v>45291</v>
      </c>
      <c r="B13" s="4" t="n">
        <v>1973415.45</v>
      </c>
      <c r="C13" s="4" t="n">
        <v>3106537.05</v>
      </c>
      <c r="D13">
        <f>ROUND(B13/C13*90,2)</f>
        <v/>
      </c>
    </row>
    <row r="14">
      <c r="A14" s="3" t="n">
        <v>45322</v>
      </c>
      <c r="B14" s="4" t="n">
        <v>1806278.77</v>
      </c>
      <c r="C14" s="4" t="n">
        <v>3070182.36</v>
      </c>
      <c r="D14">
        <f>ROUND(B14/C14*90,2)</f>
        <v/>
      </c>
    </row>
    <row r="15">
      <c r="A15" s="3" t="n">
        <v>45351</v>
      </c>
      <c r="B15" s="4" t="n">
        <v>1535928.21</v>
      </c>
      <c r="C15" s="4" t="n">
        <v>2716790.01</v>
      </c>
      <c r="D15">
        <f>ROUND(B15/C15*90,2)</f>
        <v/>
      </c>
    </row>
    <row r="16">
      <c r="A16" s="3" t="n">
        <v>45382</v>
      </c>
      <c r="B16" s="4" t="n">
        <v>1635893.29</v>
      </c>
      <c r="C16" s="4" t="n">
        <v>2552359.67</v>
      </c>
      <c r="D16">
        <f>ROUND(B16/C16*90,2)</f>
        <v/>
      </c>
    </row>
    <row r="17">
      <c r="A17" s="3" t="n">
        <v>45412</v>
      </c>
      <c r="B17" s="4" t="n">
        <v>1752593.98</v>
      </c>
      <c r="C17" s="4" t="n">
        <v>2575969.79</v>
      </c>
      <c r="D17">
        <f>ROUND(B17/C17*90,2)</f>
        <v/>
      </c>
    </row>
    <row r="18">
      <c r="A18" s="3" t="n">
        <v>45443</v>
      </c>
      <c r="B18" s="4" t="n">
        <v>1828416.01</v>
      </c>
      <c r="C18" s="4" t="n">
        <v>2801819.11</v>
      </c>
      <c r="D18">
        <f>ROUND(B18/C18*90,2)</f>
        <v/>
      </c>
    </row>
    <row r="19">
      <c r="A19" s="3" t="n">
        <v>45473</v>
      </c>
      <c r="B19" s="4" t="n">
        <v>1863734.96</v>
      </c>
      <c r="C19" s="4" t="n">
        <v>2789145.25</v>
      </c>
      <c r="D19">
        <f>ROUND(B19/C19*90,2)</f>
        <v/>
      </c>
    </row>
    <row r="20">
      <c r="A20" s="3" t="n">
        <v>45504</v>
      </c>
      <c r="B20" s="4" t="n">
        <v>1694470.23</v>
      </c>
      <c r="C20" s="4" t="n">
        <v>2707189.36</v>
      </c>
      <c r="D20">
        <f>ROUND(B20/C20*90,2)</f>
        <v/>
      </c>
    </row>
    <row r="21">
      <c r="A21" s="3" t="n">
        <v>45535</v>
      </c>
      <c r="B21" s="4" t="n">
        <v>1657187.36</v>
      </c>
      <c r="C21" s="4" t="n">
        <v>2487217.3</v>
      </c>
      <c r="D21">
        <f>ROUND(B21/C21*90,2)</f>
        <v/>
      </c>
    </row>
    <row r="22">
      <c r="A22" s="3" t="n">
        <v>45565</v>
      </c>
      <c r="B22" s="4" t="n">
        <v>1890245.28</v>
      </c>
      <c r="C22" s="4" t="n">
        <v>2586488.15</v>
      </c>
      <c r="D22">
        <f>ROUND(B22/C22*90,2)</f>
        <v/>
      </c>
    </row>
    <row r="23">
      <c r="A23" s="3" t="n">
        <v>45596</v>
      </c>
      <c r="B23" s="4" t="n">
        <v>2116201.24</v>
      </c>
      <c r="C23" s="4" t="n">
        <v>2882876.8</v>
      </c>
      <c r="D23">
        <f>ROUND(B23/C23*90,2)</f>
        <v/>
      </c>
    </row>
    <row r="24">
      <c r="A24" s="3" t="n">
        <v>45626</v>
      </c>
      <c r="B24" s="4" t="n">
        <v>2227050.85</v>
      </c>
      <c r="C24" s="4" t="n">
        <v>3246757.7</v>
      </c>
      <c r="D24">
        <f>ROUND(B24/C24*90,2)</f>
        <v/>
      </c>
    </row>
    <row r="25">
      <c r="A25" s="3" t="n">
        <v>45657</v>
      </c>
      <c r="B25" s="4" t="n">
        <v>2519196.02</v>
      </c>
      <c r="C25" s="4" t="n">
        <v>3469672.75</v>
      </c>
      <c r="D25">
        <f>ROUND(B25/C25*90,2)</f>
        <v/>
      </c>
    </row>
    <row r="26">
      <c r="A26" s="3" t="n">
        <v>45688</v>
      </c>
      <c r="B26" s="4" t="n">
        <v>2346665.71</v>
      </c>
      <c r="C26" s="4" t="n">
        <v>3399178.64</v>
      </c>
      <c r="D26">
        <f>ROUND(B26/C26*90,2)</f>
        <v/>
      </c>
    </row>
    <row r="27">
      <c r="A27" s="3" t="n">
        <v>45716</v>
      </c>
      <c r="B27" s="4" t="n">
        <v>2096057.29</v>
      </c>
      <c r="C27" s="4" t="n">
        <v>3180421.74</v>
      </c>
      <c r="D27">
        <f>ROUND(B27/C27*90,2)</f>
        <v/>
      </c>
    </row>
    <row r="28">
      <c r="A28" s="3" t="n">
        <v>45747</v>
      </c>
      <c r="B28" s="4" t="n">
        <v>2064113.83</v>
      </c>
      <c r="C28" s="4" t="n">
        <v>2879079.25</v>
      </c>
      <c r="D28">
        <f>ROUND(B28/C28*90,2)</f>
        <v/>
      </c>
    </row>
    <row r="29">
      <c r="A29" s="3" t="n">
        <v>45777</v>
      </c>
      <c r="B29" s="4" t="n">
        <v>2128087.87</v>
      </c>
      <c r="C29" s="4" t="n">
        <v>2839161.28</v>
      </c>
      <c r="D29">
        <f>ROUND(B29/C29*90,2)</f>
        <v/>
      </c>
    </row>
    <row r="30">
      <c r="A30" s="3" t="n">
        <v>45808</v>
      </c>
      <c r="B30" s="4" t="n">
        <v>2064750.87</v>
      </c>
      <c r="C30" s="4" t="n">
        <v>2793984.72</v>
      </c>
      <c r="D30">
        <f>ROUND(B30/C30*90,2)</f>
        <v/>
      </c>
    </row>
    <row r="31">
      <c r="A31" s="3" t="n">
        <v>45838</v>
      </c>
      <c r="B31" s="4" t="n">
        <v>2183064.96</v>
      </c>
      <c r="C31" s="4" t="n">
        <v>2802990.92</v>
      </c>
      <c r="D31">
        <f>ROUND(B31/C31*90,2)</f>
        <v/>
      </c>
    </row>
    <row r="32">
      <c r="A32" s="3" t="n">
        <v>45869</v>
      </c>
      <c r="B32" s="4" t="n">
        <v>2260920.15</v>
      </c>
      <c r="C32" s="4" t="n">
        <v>2836282.83</v>
      </c>
      <c r="D32">
        <f>ROUND(B32/C32*90,2)</f>
        <v/>
      </c>
    </row>
    <row r="33">
      <c r="A33" s="3" t="n">
        <v>45900</v>
      </c>
      <c r="B33" s="4" t="n">
        <v>2174557.34</v>
      </c>
      <c r="C33" s="4" t="n">
        <v>2774936.98</v>
      </c>
      <c r="D33">
        <f>ROUND(B33/C33*90,2)</f>
        <v/>
      </c>
    </row>
    <row r="34">
      <c r="A34" s="3" t="n">
        <v>45930</v>
      </c>
      <c r="B34" s="4" t="n">
        <v>2393587.15</v>
      </c>
      <c r="C34" s="4" t="n">
        <v>2837776.59</v>
      </c>
      <c r="D34">
        <f>ROUND(B34/C34*90,2)</f>
        <v/>
      </c>
    </row>
    <row r="35">
      <c r="A35" s="3" t="n">
        <v>45961</v>
      </c>
      <c r="B35" s="4" t="n">
        <v>2641343.65</v>
      </c>
      <c r="C35" s="4" t="n">
        <v>3060533.29</v>
      </c>
      <c r="D35">
        <f>ROUND(B35/C35*90,2)</f>
        <v/>
      </c>
    </row>
    <row r="36">
      <c r="A36" s="3" t="n">
        <v>45991</v>
      </c>
      <c r="B36" s="4" t="n">
        <v>2858170.86</v>
      </c>
      <c r="C36" s="4" t="n">
        <v>3530053.37</v>
      </c>
      <c r="D36">
        <f>ROUND(B36/C36*90,2)</f>
        <v/>
      </c>
    </row>
    <row r="37">
      <c r="A37" s="3" t="n">
        <v>46022</v>
      </c>
      <c r="B37" s="4" t="n">
        <v>3062052.1</v>
      </c>
      <c r="C37" s="4" t="n">
        <v>3700121.37</v>
      </c>
      <c r="D37">
        <f>ROUND(B37/C37*90,2)</f>
        <v/>
      </c>
    </row>
  </sheetData>
  <conditionalFormatting sqref="D2:D37">
    <cfRule type="colorScale" priority="1">
      <colorScale>
        <cfvo type="min"/>
        <cfvo type="max"/>
        <color rgb="00C6E0B4"/>
        <color rgb="00F8CBAD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Cost centre</t>
        </is>
      </c>
      <c r="B1" s="7" t="inlineStr">
        <is>
          <t>Period</t>
        </is>
      </c>
      <c r="C1" s="7" t="inlineStr">
        <is>
          <t>Actual</t>
        </is>
      </c>
      <c r="D1" s="7" t="inlineStr">
        <is>
          <t>Budget</t>
        </is>
      </c>
      <c r="E1" s="7" t="inlineStr">
        <is>
          <t>Variance</t>
        </is>
      </c>
      <c r="F1" s="7" t="inlineStr">
        <is>
          <t>Variance %</t>
        </is>
      </c>
    </row>
    <row r="2">
      <c r="A2" t="inlineStr">
        <is>
          <t>CC001</t>
        </is>
      </c>
      <c r="B2" t="n">
        <v>202501</v>
      </c>
      <c r="C2" s="4" t="n">
        <v>12107.65</v>
      </c>
      <c r="D2" s="4" t="n">
        <v>13046.16</v>
      </c>
      <c r="E2" s="4">
        <f>C2-D2</f>
        <v/>
      </c>
      <c r="F2" s="5">
        <f>IFERROR(E2/D2,0)</f>
        <v/>
      </c>
    </row>
    <row r="3">
      <c r="A3" t="inlineStr">
        <is>
          <t>CC001</t>
        </is>
      </c>
      <c r="B3" t="n">
        <v>202502</v>
      </c>
      <c r="C3" s="4" t="n">
        <v>13021.6</v>
      </c>
      <c r="D3" s="4" t="n">
        <v>13151.37</v>
      </c>
      <c r="E3" s="4">
        <f>C3-D3</f>
        <v/>
      </c>
      <c r="F3" s="5">
        <f>IFERROR(E3/D3,0)</f>
        <v/>
      </c>
    </row>
    <row r="4">
      <c r="A4" t="inlineStr">
        <is>
          <t>CC001</t>
        </is>
      </c>
      <c r="B4" t="n">
        <v>202503</v>
      </c>
      <c r="C4" s="4" t="n">
        <v>13473.24</v>
      </c>
      <c r="D4" s="4" t="n">
        <v>13256.58</v>
      </c>
      <c r="E4" s="4">
        <f>C4-D4</f>
        <v/>
      </c>
      <c r="F4" s="5">
        <f>IFERROR(E4/D4,0)</f>
        <v/>
      </c>
    </row>
    <row r="5">
      <c r="A5" t="inlineStr">
        <is>
          <t>CC001</t>
        </is>
      </c>
      <c r="B5" t="n">
        <v>202504</v>
      </c>
      <c r="C5" s="4" t="n">
        <v>13242.21</v>
      </c>
      <c r="D5" s="4" t="n">
        <v>13361.79</v>
      </c>
      <c r="E5" s="4">
        <f>C5-D5</f>
        <v/>
      </c>
      <c r="F5" s="5">
        <f>IFERROR(E5/D5,0)</f>
        <v/>
      </c>
    </row>
    <row r="6">
      <c r="A6" t="inlineStr">
        <is>
          <t>CC001</t>
        </is>
      </c>
      <c r="B6" t="n">
        <v>202505</v>
      </c>
      <c r="C6" s="4" t="n">
        <v>13259.26</v>
      </c>
      <c r="D6" s="4" t="n">
        <v>13467</v>
      </c>
      <c r="E6" s="4">
        <f>C6-D6</f>
        <v/>
      </c>
      <c r="F6" s="5">
        <f>IFERROR(E6/D6,0)</f>
        <v/>
      </c>
    </row>
    <row r="7">
      <c r="A7" t="inlineStr">
        <is>
          <t>CC001</t>
        </is>
      </c>
      <c r="B7" t="n">
        <v>202506</v>
      </c>
      <c r="C7" s="4" t="n">
        <v>13819.35</v>
      </c>
      <c r="D7" s="4" t="n">
        <v>13572.21</v>
      </c>
      <c r="E7" s="4">
        <f>C7-D7</f>
        <v/>
      </c>
      <c r="F7" s="5">
        <f>IFERROR(E7/D7,0)</f>
        <v/>
      </c>
    </row>
    <row r="8">
      <c r="A8" t="inlineStr">
        <is>
          <t>CC001</t>
        </is>
      </c>
      <c r="B8" t="n">
        <v>202507</v>
      </c>
      <c r="C8" s="4" t="n">
        <v>14247.54</v>
      </c>
      <c r="D8" s="4" t="n">
        <v>13677.43</v>
      </c>
      <c r="E8" s="4">
        <f>C8-D8</f>
        <v/>
      </c>
      <c r="F8" s="5">
        <f>IFERROR(E8/D8,0)</f>
        <v/>
      </c>
    </row>
    <row r="9">
      <c r="A9" t="inlineStr">
        <is>
          <t>CC001</t>
        </is>
      </c>
      <c r="B9" t="n">
        <v>202508</v>
      </c>
      <c r="C9" s="4" t="n">
        <v>14371.69</v>
      </c>
      <c r="D9" s="4" t="n">
        <v>13782.64</v>
      </c>
      <c r="E9" s="4">
        <f>C9-D9</f>
        <v/>
      </c>
      <c r="F9" s="5">
        <f>IFERROR(E9/D9,0)</f>
        <v/>
      </c>
    </row>
    <row r="10">
      <c r="A10" t="inlineStr">
        <is>
          <t>CC001</t>
        </is>
      </c>
      <c r="B10" t="n">
        <v>202509</v>
      </c>
      <c r="C10" s="4" t="n">
        <v>13659.14</v>
      </c>
      <c r="D10" s="4" t="n">
        <v>13887.85</v>
      </c>
      <c r="E10" s="4">
        <f>C10-D10</f>
        <v/>
      </c>
      <c r="F10" s="5">
        <f>IFERROR(E10/D10,0)</f>
        <v/>
      </c>
    </row>
    <row r="11">
      <c r="A11" t="inlineStr">
        <is>
          <t>CC001</t>
        </is>
      </c>
      <c r="B11" t="n">
        <v>202510</v>
      </c>
      <c r="C11" s="4" t="n">
        <v>14039.54</v>
      </c>
      <c r="D11" s="4" t="n">
        <v>13993.06</v>
      </c>
      <c r="E11" s="4">
        <f>C11-D11</f>
        <v/>
      </c>
      <c r="F11" s="5">
        <f>IFERROR(E11/D11,0)</f>
        <v/>
      </c>
    </row>
    <row r="12">
      <c r="A12" t="inlineStr">
        <is>
          <t>CC001</t>
        </is>
      </c>
      <c r="B12" t="n">
        <v>202511</v>
      </c>
      <c r="C12" s="4" t="n">
        <v>15318.35</v>
      </c>
      <c r="D12" s="4" t="n">
        <v>15508.1</v>
      </c>
      <c r="E12" s="4">
        <f>C12-D12</f>
        <v/>
      </c>
      <c r="F12" s="5">
        <f>IFERROR(E12/D12,0)</f>
        <v/>
      </c>
    </row>
    <row r="13">
      <c r="A13" t="inlineStr">
        <is>
          <t>CC001</t>
        </is>
      </c>
      <c r="B13" t="n">
        <v>202512</v>
      </c>
      <c r="C13" s="4" t="n">
        <v>15707.64</v>
      </c>
      <c r="D13" s="4" t="n">
        <v>15623.83</v>
      </c>
      <c r="E13" s="4">
        <f>C13-D13</f>
        <v/>
      </c>
      <c r="F13" s="5">
        <f>IFERROR(E13/D13,0)</f>
        <v/>
      </c>
    </row>
    <row r="14">
      <c r="A14" t="inlineStr">
        <is>
          <t>CC002</t>
        </is>
      </c>
      <c r="B14" t="n">
        <v>202501</v>
      </c>
      <c r="C14" s="4" t="n">
        <v>12219.65</v>
      </c>
      <c r="D14" s="4" t="n">
        <v>10916.08</v>
      </c>
      <c r="E14" s="4">
        <f>C14-D14</f>
        <v/>
      </c>
      <c r="F14" s="5">
        <f>IFERROR(E14/D14,0)</f>
        <v/>
      </c>
    </row>
    <row r="15">
      <c r="A15" t="inlineStr">
        <is>
          <t>CC002</t>
        </is>
      </c>
      <c r="B15" t="n">
        <v>202502</v>
      </c>
      <c r="C15" s="4" t="n">
        <v>12117.06</v>
      </c>
      <c r="D15" s="4" t="n">
        <v>11004.12</v>
      </c>
      <c r="E15" s="4">
        <f>C15-D15</f>
        <v/>
      </c>
      <c r="F15" s="5">
        <f>IFERROR(E15/D15,0)</f>
        <v/>
      </c>
    </row>
    <row r="16">
      <c r="A16" t="inlineStr">
        <is>
          <t>CC002</t>
        </is>
      </c>
      <c r="B16" t="n">
        <v>202503</v>
      </c>
      <c r="C16" s="4" t="n">
        <v>11571.59</v>
      </c>
      <c r="D16" s="4" t="n">
        <v>11092.15</v>
      </c>
      <c r="E16" s="4">
        <f>C16-D16</f>
        <v/>
      </c>
      <c r="F16" s="5">
        <f>IFERROR(E16/D16,0)</f>
        <v/>
      </c>
    </row>
    <row r="17">
      <c r="A17" t="inlineStr">
        <is>
          <t>CC002</t>
        </is>
      </c>
      <c r="B17" t="n">
        <v>202504</v>
      </c>
      <c r="C17" s="4" t="n">
        <v>12545.45</v>
      </c>
      <c r="D17" s="4" t="n">
        <v>11180.18</v>
      </c>
      <c r="E17" s="4">
        <f>C17-D17</f>
        <v/>
      </c>
      <c r="F17" s="5">
        <f>IFERROR(E17/D17,0)</f>
        <v/>
      </c>
    </row>
    <row r="18">
      <c r="A18" t="inlineStr">
        <is>
          <t>CC002</t>
        </is>
      </c>
      <c r="B18" t="n">
        <v>202505</v>
      </c>
      <c r="C18" s="4" t="n">
        <v>13037.33</v>
      </c>
      <c r="D18" s="4" t="n">
        <v>11268.21</v>
      </c>
      <c r="E18" s="4">
        <f>C18-D18</f>
        <v/>
      </c>
      <c r="F18" s="5">
        <f>IFERROR(E18/D18,0)</f>
        <v/>
      </c>
    </row>
    <row r="19">
      <c r="A19" t="inlineStr">
        <is>
          <t>CC002</t>
        </is>
      </c>
      <c r="B19" t="n">
        <v>202506</v>
      </c>
      <c r="C19" s="4" t="n">
        <v>12714.16</v>
      </c>
      <c r="D19" s="4" t="n">
        <v>11356.25</v>
      </c>
      <c r="E19" s="4">
        <f>C19-D19</f>
        <v/>
      </c>
      <c r="F19" s="5">
        <f>IFERROR(E19/D19,0)</f>
        <v/>
      </c>
    </row>
    <row r="20">
      <c r="A20" t="inlineStr">
        <is>
          <t>CC002</t>
        </is>
      </c>
      <c r="B20" t="n">
        <v>202507</v>
      </c>
      <c r="C20" s="4" t="n">
        <v>13394.06</v>
      </c>
      <c r="D20" s="4" t="n">
        <v>11444.28</v>
      </c>
      <c r="E20" s="4">
        <f>C20-D20</f>
        <v/>
      </c>
      <c r="F20" s="5">
        <f>IFERROR(E20/D20,0)</f>
        <v/>
      </c>
    </row>
    <row r="21">
      <c r="A21" t="inlineStr">
        <is>
          <t>CC002</t>
        </is>
      </c>
      <c r="B21" t="n">
        <v>202508</v>
      </c>
      <c r="C21" s="4" t="n">
        <v>13018.89</v>
      </c>
      <c r="D21" s="4" t="n">
        <v>11532.31</v>
      </c>
      <c r="E21" s="4">
        <f>C21-D21</f>
        <v/>
      </c>
      <c r="F21" s="5">
        <f>IFERROR(E21/D21,0)</f>
        <v/>
      </c>
    </row>
    <row r="22">
      <c r="A22" t="inlineStr">
        <is>
          <t>CC002</t>
        </is>
      </c>
      <c r="B22" t="n">
        <v>202509</v>
      </c>
      <c r="C22" s="4" t="n">
        <v>13135.01</v>
      </c>
      <c r="D22" s="4" t="n">
        <v>11620.35</v>
      </c>
      <c r="E22" s="4">
        <f>C22-D22</f>
        <v/>
      </c>
      <c r="F22" s="5">
        <f>IFERROR(E22/D22,0)</f>
        <v/>
      </c>
    </row>
    <row r="23">
      <c r="A23" t="inlineStr">
        <is>
          <t>CC002</t>
        </is>
      </c>
      <c r="B23" t="n">
        <v>202510</v>
      </c>
      <c r="C23" s="4" t="n">
        <v>13434.5</v>
      </c>
      <c r="D23" s="4" t="n">
        <v>11708.38</v>
      </c>
      <c r="E23" s="4">
        <f>C23-D23</f>
        <v/>
      </c>
      <c r="F23" s="5">
        <f>IFERROR(E23/D23,0)</f>
        <v/>
      </c>
    </row>
    <row r="24">
      <c r="A24" t="inlineStr">
        <is>
          <t>CC002</t>
        </is>
      </c>
      <c r="B24" t="n">
        <v>202511</v>
      </c>
      <c r="C24" s="4" t="n">
        <v>16056.15</v>
      </c>
      <c r="D24" s="4" t="n">
        <v>12976.05</v>
      </c>
      <c r="E24" s="4">
        <f>C24-D24</f>
        <v/>
      </c>
      <c r="F24" s="5">
        <f>IFERROR(E24/D24,0)</f>
        <v/>
      </c>
    </row>
    <row r="25">
      <c r="A25" t="inlineStr">
        <is>
          <t>CC002</t>
        </is>
      </c>
      <c r="B25" t="n">
        <v>202512</v>
      </c>
      <c r="C25" s="4" t="n">
        <v>14738.73</v>
      </c>
      <c r="D25" s="4" t="n">
        <v>13072.89</v>
      </c>
      <c r="E25" s="4">
        <f>C25-D25</f>
        <v/>
      </c>
      <c r="F25" s="5">
        <f>IFERROR(E25/D25,0)</f>
        <v/>
      </c>
    </row>
    <row r="26">
      <c r="A26" t="inlineStr">
        <is>
          <t>CC003</t>
        </is>
      </c>
      <c r="B26" t="n">
        <v>202501</v>
      </c>
      <c r="C26" s="4" t="n">
        <v>10327.62</v>
      </c>
      <c r="D26" s="4" t="n">
        <v>10329.1</v>
      </c>
      <c r="E26" s="4">
        <f>C26-D26</f>
        <v/>
      </c>
      <c r="F26" s="5">
        <f>IFERROR(E26/D26,0)</f>
        <v/>
      </c>
    </row>
    <row r="27">
      <c r="A27" t="inlineStr">
        <is>
          <t>CC003</t>
        </is>
      </c>
      <c r="B27" t="n">
        <v>202502</v>
      </c>
      <c r="C27" s="4" t="n">
        <v>10583.52</v>
      </c>
      <c r="D27" s="4" t="n">
        <v>10412.4</v>
      </c>
      <c r="E27" s="4">
        <f>C27-D27</f>
        <v/>
      </c>
      <c r="F27" s="5">
        <f>IFERROR(E27/D27,0)</f>
        <v/>
      </c>
    </row>
    <row r="28">
      <c r="A28" t="inlineStr">
        <is>
          <t>CC003</t>
        </is>
      </c>
      <c r="B28" t="n">
        <v>202503</v>
      </c>
      <c r="C28" s="4" t="n">
        <v>10453.27</v>
      </c>
      <c r="D28" s="4" t="n">
        <v>10495.7</v>
      </c>
      <c r="E28" s="4">
        <f>C28-D28</f>
        <v/>
      </c>
      <c r="F28" s="5">
        <f>IFERROR(E28/D28,0)</f>
        <v/>
      </c>
    </row>
    <row r="29">
      <c r="A29" t="inlineStr">
        <is>
          <t>CC003</t>
        </is>
      </c>
      <c r="B29" t="n">
        <v>202504</v>
      </c>
      <c r="C29" s="4" t="n">
        <v>10492.43</v>
      </c>
      <c r="D29" s="4" t="n">
        <v>10579</v>
      </c>
      <c r="E29" s="4">
        <f>C29-D29</f>
        <v/>
      </c>
      <c r="F29" s="5">
        <f>IFERROR(E29/D29,0)</f>
        <v/>
      </c>
    </row>
    <row r="30">
      <c r="A30" t="inlineStr">
        <is>
          <t>CC003</t>
        </is>
      </c>
      <c r="B30" t="n">
        <v>202505</v>
      </c>
      <c r="C30" s="4" t="n">
        <v>11093.6</v>
      </c>
      <c r="D30" s="4" t="n">
        <v>10662.3</v>
      </c>
      <c r="E30" s="4">
        <f>C30-D30</f>
        <v/>
      </c>
      <c r="F30" s="5">
        <f>IFERROR(E30/D30,0)</f>
        <v/>
      </c>
    </row>
    <row r="31">
      <c r="A31" t="inlineStr">
        <is>
          <t>CC003</t>
        </is>
      </c>
      <c r="B31" t="n">
        <v>202506</v>
      </c>
      <c r="C31" s="4" t="n">
        <v>10940.16</v>
      </c>
      <c r="D31" s="4" t="n">
        <v>10745.6</v>
      </c>
      <c r="E31" s="4">
        <f>C31-D31</f>
        <v/>
      </c>
      <c r="F31" s="5">
        <f>IFERROR(E31/D31,0)</f>
        <v/>
      </c>
    </row>
    <row r="32">
      <c r="A32" t="inlineStr">
        <is>
          <t>CC003</t>
        </is>
      </c>
      <c r="B32" t="n">
        <v>202507</v>
      </c>
      <c r="C32" s="4" t="n">
        <v>10855.82</v>
      </c>
      <c r="D32" s="4" t="n">
        <v>10828.9</v>
      </c>
      <c r="E32" s="4">
        <f>C32-D32</f>
        <v/>
      </c>
      <c r="F32" s="5">
        <f>IFERROR(E32/D32,0)</f>
        <v/>
      </c>
    </row>
    <row r="33">
      <c r="A33" t="inlineStr">
        <is>
          <t>CC003</t>
        </is>
      </c>
      <c r="B33" t="n">
        <v>202508</v>
      </c>
      <c r="C33" s="4" t="n">
        <v>11436.02</v>
      </c>
      <c r="D33" s="4" t="n">
        <v>10912.19</v>
      </c>
      <c r="E33" s="4">
        <f>C33-D33</f>
        <v/>
      </c>
      <c r="F33" s="5">
        <f>IFERROR(E33/D33,0)</f>
        <v/>
      </c>
    </row>
    <row r="34">
      <c r="A34" t="inlineStr">
        <is>
          <t>CC003</t>
        </is>
      </c>
      <c r="B34" t="n">
        <v>202509</v>
      </c>
      <c r="C34" s="4" t="n">
        <v>10528.88</v>
      </c>
      <c r="D34" s="4" t="n">
        <v>10995.49</v>
      </c>
      <c r="E34" s="4">
        <f>C34-D34</f>
        <v/>
      </c>
      <c r="F34" s="5">
        <f>IFERROR(E34/D34,0)</f>
        <v/>
      </c>
    </row>
    <row r="35">
      <c r="A35" t="inlineStr">
        <is>
          <t>CC003</t>
        </is>
      </c>
      <c r="B35" t="n">
        <v>202510</v>
      </c>
      <c r="C35" s="4" t="n">
        <v>11186.44</v>
      </c>
      <c r="D35" s="4" t="n">
        <v>11078.79</v>
      </c>
      <c r="E35" s="4">
        <f>C35-D35</f>
        <v/>
      </c>
      <c r="F35" s="5">
        <f>IFERROR(E35/D35,0)</f>
        <v/>
      </c>
    </row>
    <row r="36">
      <c r="A36" t="inlineStr">
        <is>
          <t>CC003</t>
        </is>
      </c>
      <c r="B36" t="n">
        <v>202511</v>
      </c>
      <c r="C36" s="4" t="n">
        <v>13472.02</v>
      </c>
      <c r="D36" s="4" t="n">
        <v>12278.3</v>
      </c>
      <c r="E36" s="4">
        <f>C36-D36</f>
        <v/>
      </c>
      <c r="F36" s="5">
        <f>IFERROR(E36/D36,0)</f>
        <v/>
      </c>
    </row>
    <row r="37">
      <c r="A37" t="inlineStr">
        <is>
          <t>CC003</t>
        </is>
      </c>
      <c r="B37" t="n">
        <v>202512</v>
      </c>
      <c r="C37" s="4" t="n">
        <v>12479.51</v>
      </c>
      <c r="D37" s="4" t="n">
        <v>12369.93</v>
      </c>
      <c r="E37" s="4">
        <f>C37-D37</f>
        <v/>
      </c>
      <c r="F37" s="5">
        <f>IFERROR(E37/D37,0)</f>
        <v/>
      </c>
    </row>
    <row r="38">
      <c r="A38" t="inlineStr">
        <is>
          <t>CC004</t>
        </is>
      </c>
      <c r="B38" t="n">
        <v>202501</v>
      </c>
      <c r="C38" s="4" t="n">
        <v>13895.45</v>
      </c>
      <c r="D38" s="4" t="n">
        <v>13295.07</v>
      </c>
      <c r="E38" s="4">
        <f>C38-D38</f>
        <v/>
      </c>
      <c r="F38" s="5">
        <f>IFERROR(E38/D38,0)</f>
        <v/>
      </c>
    </row>
    <row r="39">
      <c r="A39" t="inlineStr">
        <is>
          <t>CC004</t>
        </is>
      </c>
      <c r="B39" t="n">
        <v>202502</v>
      </c>
      <c r="C39" s="4" t="n">
        <v>13223.66</v>
      </c>
      <c r="D39" s="4" t="n">
        <v>13402.29</v>
      </c>
      <c r="E39" s="4">
        <f>C39-D39</f>
        <v/>
      </c>
      <c r="F39" s="5">
        <f>IFERROR(E39/D39,0)</f>
        <v/>
      </c>
    </row>
    <row r="40">
      <c r="A40" t="inlineStr">
        <is>
          <t>CC004</t>
        </is>
      </c>
      <c r="B40" t="n">
        <v>202503</v>
      </c>
      <c r="C40" s="4" t="n">
        <v>13527.52</v>
      </c>
      <c r="D40" s="4" t="n">
        <v>13509.51</v>
      </c>
      <c r="E40" s="4">
        <f>C40-D40</f>
        <v/>
      </c>
      <c r="F40" s="5">
        <f>IFERROR(E40/D40,0)</f>
        <v/>
      </c>
    </row>
    <row r="41">
      <c r="A41" t="inlineStr">
        <is>
          <t>CC004</t>
        </is>
      </c>
      <c r="B41" t="n">
        <v>202504</v>
      </c>
      <c r="C41" s="4" t="n">
        <v>13781.11</v>
      </c>
      <c r="D41" s="4" t="n">
        <v>13616.73</v>
      </c>
      <c r="E41" s="4">
        <f>C41-D41</f>
        <v/>
      </c>
      <c r="F41" s="5">
        <f>IFERROR(E41/D41,0)</f>
        <v/>
      </c>
    </row>
    <row r="42">
      <c r="A42" t="inlineStr">
        <is>
          <t>CC004</t>
        </is>
      </c>
      <c r="B42" t="n">
        <v>202505</v>
      </c>
      <c r="C42" s="4" t="n">
        <v>13908.51</v>
      </c>
      <c r="D42" s="4" t="n">
        <v>13723.94</v>
      </c>
      <c r="E42" s="4">
        <f>C42-D42</f>
        <v/>
      </c>
      <c r="F42" s="5">
        <f>IFERROR(E42/D42,0)</f>
        <v/>
      </c>
    </row>
    <row r="43">
      <c r="A43" t="inlineStr">
        <is>
          <t>CC004</t>
        </is>
      </c>
      <c r="B43" t="n">
        <v>202506</v>
      </c>
      <c r="C43" s="4" t="n">
        <v>13728.68</v>
      </c>
      <c r="D43" s="4" t="n">
        <v>13831.16</v>
      </c>
      <c r="E43" s="4">
        <f>C43-D43</f>
        <v/>
      </c>
      <c r="F43" s="5">
        <f>IFERROR(E43/D43,0)</f>
        <v/>
      </c>
    </row>
    <row r="44">
      <c r="A44" t="inlineStr">
        <is>
          <t>CC004</t>
        </is>
      </c>
      <c r="B44" t="n">
        <v>202507</v>
      </c>
      <c r="C44" s="4" t="n">
        <v>14163.83</v>
      </c>
      <c r="D44" s="4" t="n">
        <v>13938.38</v>
      </c>
      <c r="E44" s="4">
        <f>C44-D44</f>
        <v/>
      </c>
      <c r="F44" s="5">
        <f>IFERROR(E44/D44,0)</f>
        <v/>
      </c>
    </row>
    <row r="45">
      <c r="A45" t="inlineStr">
        <is>
          <t>CC004</t>
        </is>
      </c>
      <c r="B45" t="n">
        <v>202508</v>
      </c>
      <c r="C45" s="4" t="n">
        <v>14247.05</v>
      </c>
      <c r="D45" s="4" t="n">
        <v>14045.6</v>
      </c>
      <c r="E45" s="4">
        <f>C45-D45</f>
        <v/>
      </c>
      <c r="F45" s="5">
        <f>IFERROR(E45/D45,0)</f>
        <v/>
      </c>
    </row>
    <row r="46">
      <c r="A46" t="inlineStr">
        <is>
          <t>CC004</t>
        </is>
      </c>
      <c r="B46" t="n">
        <v>202509</v>
      </c>
      <c r="C46" s="4" t="n">
        <v>13993.45</v>
      </c>
      <c r="D46" s="4" t="n">
        <v>14152.82</v>
      </c>
      <c r="E46" s="4">
        <f>C46-D46</f>
        <v/>
      </c>
      <c r="F46" s="5">
        <f>IFERROR(E46/D46,0)</f>
        <v/>
      </c>
    </row>
    <row r="47">
      <c r="A47" t="inlineStr">
        <is>
          <t>CC004</t>
        </is>
      </c>
      <c r="B47" t="n">
        <v>202510</v>
      </c>
      <c r="C47" s="4" t="n">
        <v>14124.1</v>
      </c>
      <c r="D47" s="4" t="n">
        <v>14260.04</v>
      </c>
      <c r="E47" s="4">
        <f>C47-D47</f>
        <v/>
      </c>
      <c r="F47" s="5">
        <f>IFERROR(E47/D47,0)</f>
        <v/>
      </c>
    </row>
    <row r="48">
      <c r="A48" t="inlineStr">
        <is>
          <t>CC004</t>
        </is>
      </c>
      <c r="B48" t="n">
        <v>202511</v>
      </c>
      <c r="C48" s="4" t="n">
        <v>15162.07</v>
      </c>
      <c r="D48" s="4" t="n">
        <v>15803.98</v>
      </c>
      <c r="E48" s="4">
        <f>C48-D48</f>
        <v/>
      </c>
      <c r="F48" s="5">
        <f>IFERROR(E48/D48,0)</f>
        <v/>
      </c>
    </row>
    <row r="49">
      <c r="A49" t="inlineStr">
        <is>
          <t>CC004</t>
        </is>
      </c>
      <c r="B49" t="n">
        <v>202512</v>
      </c>
      <c r="C49" s="4" t="n">
        <v>15504.91</v>
      </c>
      <c r="D49" s="4" t="n">
        <v>15921.92</v>
      </c>
      <c r="E49" s="4">
        <f>C49-D49</f>
        <v/>
      </c>
      <c r="F49" s="5">
        <f>IFERROR(E49/D49,0)</f>
        <v/>
      </c>
    </row>
    <row r="50">
      <c r="A50" t="inlineStr">
        <is>
          <t>CC005</t>
        </is>
      </c>
      <c r="B50" t="n">
        <v>202501</v>
      </c>
      <c r="C50" s="4" t="n">
        <v>13184.56</v>
      </c>
      <c r="D50" s="4" t="n">
        <v>11937.46</v>
      </c>
      <c r="E50" s="4">
        <f>C50-D50</f>
        <v/>
      </c>
      <c r="F50" s="5">
        <f>IFERROR(E50/D50,0)</f>
        <v/>
      </c>
    </row>
    <row r="51">
      <c r="A51" t="inlineStr">
        <is>
          <t>CC005</t>
        </is>
      </c>
      <c r="B51" t="n">
        <v>202502</v>
      </c>
      <c r="C51" s="4" t="n">
        <v>12366.48</v>
      </c>
      <c r="D51" s="4" t="n">
        <v>12033.73</v>
      </c>
      <c r="E51" s="4">
        <f>C51-D51</f>
        <v/>
      </c>
      <c r="F51" s="5">
        <f>IFERROR(E51/D51,0)</f>
        <v/>
      </c>
    </row>
    <row r="52">
      <c r="A52" t="inlineStr">
        <is>
          <t>CC005</t>
        </is>
      </c>
      <c r="B52" t="n">
        <v>202503</v>
      </c>
      <c r="C52" s="4" t="n">
        <v>13035.26</v>
      </c>
      <c r="D52" s="4" t="n">
        <v>12130</v>
      </c>
      <c r="E52" s="4">
        <f>C52-D52</f>
        <v/>
      </c>
      <c r="F52" s="5">
        <f>IFERROR(E52/D52,0)</f>
        <v/>
      </c>
    </row>
    <row r="53">
      <c r="A53" t="inlineStr">
        <is>
          <t>CC005</t>
        </is>
      </c>
      <c r="B53" t="n">
        <v>202504</v>
      </c>
      <c r="C53" s="4" t="n">
        <v>13755.19</v>
      </c>
      <c r="D53" s="4" t="n">
        <v>12226.27</v>
      </c>
      <c r="E53" s="4">
        <f>C53-D53</f>
        <v/>
      </c>
      <c r="F53" s="5">
        <f>IFERROR(E53/D53,0)</f>
        <v/>
      </c>
    </row>
    <row r="54">
      <c r="A54" t="inlineStr">
        <is>
          <t>CC005</t>
        </is>
      </c>
      <c r="B54" t="n">
        <v>202505</v>
      </c>
      <c r="C54" s="4" t="n">
        <v>13462.58</v>
      </c>
      <c r="D54" s="4" t="n">
        <v>12322.54</v>
      </c>
      <c r="E54" s="4">
        <f>C54-D54</f>
        <v/>
      </c>
      <c r="F54" s="5">
        <f>IFERROR(E54/D54,0)</f>
        <v/>
      </c>
    </row>
    <row r="55">
      <c r="A55" t="inlineStr">
        <is>
          <t>CC005</t>
        </is>
      </c>
      <c r="B55" t="n">
        <v>202506</v>
      </c>
      <c r="C55" s="4" t="n">
        <v>13308.79</v>
      </c>
      <c r="D55" s="4" t="n">
        <v>12418.81</v>
      </c>
      <c r="E55" s="4">
        <f>C55-D55</f>
        <v/>
      </c>
      <c r="F55" s="5">
        <f>IFERROR(E55/D55,0)</f>
        <v/>
      </c>
    </row>
    <row r="56">
      <c r="A56" t="inlineStr">
        <is>
          <t>CC005</t>
        </is>
      </c>
      <c r="B56" t="n">
        <v>202507</v>
      </c>
      <c r="C56" s="4" t="n">
        <v>14026.78</v>
      </c>
      <c r="D56" s="4" t="n">
        <v>12515.08</v>
      </c>
      <c r="E56" s="4">
        <f>C56-D56</f>
        <v/>
      </c>
      <c r="F56" s="5">
        <f>IFERROR(E56/D56,0)</f>
        <v/>
      </c>
    </row>
    <row r="57">
      <c r="A57" t="inlineStr">
        <is>
          <t>CC005</t>
        </is>
      </c>
      <c r="B57" t="n">
        <v>202508</v>
      </c>
      <c r="C57" s="4" t="n">
        <v>13670.27</v>
      </c>
      <c r="D57" s="4" t="n">
        <v>12611.35</v>
      </c>
      <c r="E57" s="4">
        <f>C57-D57</f>
        <v/>
      </c>
      <c r="F57" s="5">
        <f>IFERROR(E57/D57,0)</f>
        <v/>
      </c>
    </row>
    <row r="58">
      <c r="A58" t="inlineStr">
        <is>
          <t>CC005</t>
        </is>
      </c>
      <c r="B58" t="n">
        <v>202509</v>
      </c>
      <c r="C58" s="4" t="n">
        <v>14223.31</v>
      </c>
      <c r="D58" s="4" t="n">
        <v>12707.62</v>
      </c>
      <c r="E58" s="4">
        <f>C58-D58</f>
        <v/>
      </c>
      <c r="F58" s="5">
        <f>IFERROR(E58/D58,0)</f>
        <v/>
      </c>
    </row>
    <row r="59">
      <c r="A59" t="inlineStr">
        <is>
          <t>CC005</t>
        </is>
      </c>
      <c r="B59" t="n">
        <v>202510</v>
      </c>
      <c r="C59" s="4" t="n">
        <v>14534.7</v>
      </c>
      <c r="D59" s="4" t="n">
        <v>12803.89</v>
      </c>
      <c r="E59" s="4">
        <f>C59-D59</f>
        <v/>
      </c>
      <c r="F59" s="5">
        <f>IFERROR(E59/D59,0)</f>
        <v/>
      </c>
    </row>
    <row r="60">
      <c r="A60" t="inlineStr">
        <is>
          <t>CC005</t>
        </is>
      </c>
      <c r="B60" t="n">
        <v>202511</v>
      </c>
      <c r="C60" s="4" t="n">
        <v>16596.36</v>
      </c>
      <c r="D60" s="4" t="n">
        <v>14190.18</v>
      </c>
      <c r="E60" s="4">
        <f>C60-D60</f>
        <v/>
      </c>
      <c r="F60" s="5">
        <f>IFERROR(E60/D60,0)</f>
        <v/>
      </c>
    </row>
    <row r="61">
      <c r="A61" t="inlineStr">
        <is>
          <t>CC005</t>
        </is>
      </c>
      <c r="B61" t="n">
        <v>202512</v>
      </c>
      <c r="C61" s="4" t="n">
        <v>16505.04</v>
      </c>
      <c r="D61" s="4" t="n">
        <v>14296.08</v>
      </c>
      <c r="E61" s="4">
        <f>C61-D61</f>
        <v/>
      </c>
      <c r="F61" s="5">
        <f>IFERROR(E61/D61,0)</f>
        <v/>
      </c>
    </row>
    <row r="62">
      <c r="A62" t="inlineStr">
        <is>
          <t>CC006</t>
        </is>
      </c>
      <c r="B62" t="n">
        <v>202501</v>
      </c>
      <c r="C62" s="4" t="n">
        <v>12379.01</v>
      </c>
      <c r="D62" s="4" t="n">
        <v>13297.12</v>
      </c>
      <c r="E62" s="4">
        <f>C62-D62</f>
        <v/>
      </c>
      <c r="F62" s="5">
        <f>IFERROR(E62/D62,0)</f>
        <v/>
      </c>
    </row>
    <row r="63">
      <c r="A63" t="inlineStr">
        <is>
          <t>CC006</t>
        </is>
      </c>
      <c r="B63" t="n">
        <v>202502</v>
      </c>
      <c r="C63" s="4" t="n">
        <v>13400.68</v>
      </c>
      <c r="D63" s="4" t="n">
        <v>13404.36</v>
      </c>
      <c r="E63" s="4">
        <f>C63-D63</f>
        <v/>
      </c>
      <c r="F63" s="5">
        <f>IFERROR(E63/D63,0)</f>
        <v/>
      </c>
    </row>
    <row r="64">
      <c r="A64" t="inlineStr">
        <is>
          <t>CC006</t>
        </is>
      </c>
      <c r="B64" t="n">
        <v>202503</v>
      </c>
      <c r="C64" s="4" t="n">
        <v>12991.3</v>
      </c>
      <c r="D64" s="4" t="n">
        <v>13511.59</v>
      </c>
      <c r="E64" s="4">
        <f>C64-D64</f>
        <v/>
      </c>
      <c r="F64" s="5">
        <f>IFERROR(E64/D64,0)</f>
        <v/>
      </c>
    </row>
    <row r="65">
      <c r="A65" t="inlineStr">
        <is>
          <t>CC006</t>
        </is>
      </c>
      <c r="B65" t="n">
        <v>202504</v>
      </c>
      <c r="C65" s="4" t="n">
        <v>13743.25</v>
      </c>
      <c r="D65" s="4" t="n">
        <v>13618.83</v>
      </c>
      <c r="E65" s="4">
        <f>C65-D65</f>
        <v/>
      </c>
      <c r="F65" s="5">
        <f>IFERROR(E65/D65,0)</f>
        <v/>
      </c>
    </row>
    <row r="66">
      <c r="A66" t="inlineStr">
        <is>
          <t>CC006</t>
        </is>
      </c>
      <c r="B66" t="n">
        <v>202505</v>
      </c>
      <c r="C66" s="4" t="n">
        <v>13785.97</v>
      </c>
      <c r="D66" s="4" t="n">
        <v>13726.06</v>
      </c>
      <c r="E66" s="4">
        <f>C66-D66</f>
        <v/>
      </c>
      <c r="F66" s="5">
        <f>IFERROR(E66/D66,0)</f>
        <v/>
      </c>
    </row>
    <row r="67">
      <c r="A67" t="inlineStr">
        <is>
          <t>CC006</t>
        </is>
      </c>
      <c r="B67" t="n">
        <v>202506</v>
      </c>
      <c r="C67" s="4" t="n">
        <v>13868.26</v>
      </c>
      <c r="D67" s="4" t="n">
        <v>13833.3</v>
      </c>
      <c r="E67" s="4">
        <f>C67-D67</f>
        <v/>
      </c>
      <c r="F67" s="5">
        <f>IFERROR(E67/D67,0)</f>
        <v/>
      </c>
    </row>
    <row r="68">
      <c r="A68" t="inlineStr">
        <is>
          <t>CC006</t>
        </is>
      </c>
      <c r="B68" t="n">
        <v>202507</v>
      </c>
      <c r="C68" s="4" t="n">
        <v>13486.62</v>
      </c>
      <c r="D68" s="4" t="n">
        <v>13940.53</v>
      </c>
      <c r="E68" s="4">
        <f>C68-D68</f>
        <v/>
      </c>
      <c r="F68" s="5">
        <f>IFERROR(E68/D68,0)</f>
        <v/>
      </c>
    </row>
    <row r="69">
      <c r="A69" t="inlineStr">
        <is>
          <t>CC006</t>
        </is>
      </c>
      <c r="B69" t="n">
        <v>202508</v>
      </c>
      <c r="C69" s="4" t="n">
        <v>14243.88</v>
      </c>
      <c r="D69" s="4" t="n">
        <v>14047.77</v>
      </c>
      <c r="E69" s="4">
        <f>C69-D69</f>
        <v/>
      </c>
      <c r="F69" s="5">
        <f>IFERROR(E69/D69,0)</f>
        <v/>
      </c>
    </row>
    <row r="70">
      <c r="A70" t="inlineStr">
        <is>
          <t>CC006</t>
        </is>
      </c>
      <c r="B70" t="n">
        <v>202509</v>
      </c>
      <c r="C70" s="4" t="n">
        <v>14403.16</v>
      </c>
      <c r="D70" s="4" t="n">
        <v>14155</v>
      </c>
      <c r="E70" s="4">
        <f>C70-D70</f>
        <v/>
      </c>
      <c r="F70" s="5">
        <f>IFERROR(E70/D70,0)</f>
        <v/>
      </c>
    </row>
    <row r="71">
      <c r="A71" t="inlineStr">
        <is>
          <t>CC006</t>
        </is>
      </c>
      <c r="B71" t="n">
        <v>202510</v>
      </c>
      <c r="C71" s="4" t="n">
        <v>14298.38</v>
      </c>
      <c r="D71" s="4" t="n">
        <v>14262.24</v>
      </c>
      <c r="E71" s="4">
        <f>C71-D71</f>
        <v/>
      </c>
      <c r="F71" s="5">
        <f>IFERROR(E71/D71,0)</f>
        <v/>
      </c>
    </row>
    <row r="72">
      <c r="A72" t="inlineStr">
        <is>
          <t>CC006</t>
        </is>
      </c>
      <c r="B72" t="n">
        <v>202511</v>
      </c>
      <c r="C72" s="4" t="n">
        <v>15728.54</v>
      </c>
      <c r="D72" s="4" t="n">
        <v>15806.42</v>
      </c>
      <c r="E72" s="4">
        <f>C72-D72</f>
        <v/>
      </c>
      <c r="F72" s="5">
        <f>IFERROR(E72/D72,0)</f>
        <v/>
      </c>
    </row>
    <row r="73">
      <c r="A73" t="inlineStr">
        <is>
          <t>CC006</t>
        </is>
      </c>
      <c r="B73" t="n">
        <v>202512</v>
      </c>
      <c r="C73" s="4" t="n">
        <v>15735.19</v>
      </c>
      <c r="D73" s="4" t="n">
        <v>15924.38</v>
      </c>
      <c r="E73" s="4">
        <f>C73-D73</f>
        <v/>
      </c>
      <c r="F73" s="5">
        <f>IFERROR(E73/D73,0)</f>
        <v/>
      </c>
    </row>
    <row r="74">
      <c r="A74" t="inlineStr">
        <is>
          <t>CC007</t>
        </is>
      </c>
      <c r="B74" t="n">
        <v>202501</v>
      </c>
      <c r="C74" s="4" t="n">
        <v>16803.81</v>
      </c>
      <c r="D74" s="4" t="n">
        <v>17261.75</v>
      </c>
      <c r="E74" s="4">
        <f>C74-D74</f>
        <v/>
      </c>
      <c r="F74" s="5">
        <f>IFERROR(E74/D74,0)</f>
        <v/>
      </c>
    </row>
    <row r="75">
      <c r="A75" t="inlineStr">
        <is>
          <t>CC007</t>
        </is>
      </c>
      <c r="B75" t="n">
        <v>202502</v>
      </c>
      <c r="C75" s="4" t="n">
        <v>18228.71</v>
      </c>
      <c r="D75" s="4" t="n">
        <v>17400.96</v>
      </c>
      <c r="E75" s="4">
        <f>C75-D75</f>
        <v/>
      </c>
      <c r="F75" s="5">
        <f>IFERROR(E75/D75,0)</f>
        <v/>
      </c>
    </row>
    <row r="76">
      <c r="A76" t="inlineStr">
        <is>
          <t>CC007</t>
        </is>
      </c>
      <c r="B76" t="n">
        <v>202503</v>
      </c>
      <c r="C76" s="4" t="n">
        <v>16404.31</v>
      </c>
      <c r="D76" s="4" t="n">
        <v>17540.16</v>
      </c>
      <c r="E76" s="4">
        <f>C76-D76</f>
        <v/>
      </c>
      <c r="F76" s="5">
        <f>IFERROR(E76/D76,0)</f>
        <v/>
      </c>
    </row>
    <row r="77">
      <c r="A77" t="inlineStr">
        <is>
          <t>CC007</t>
        </is>
      </c>
      <c r="B77" t="n">
        <v>202504</v>
      </c>
      <c r="C77" s="4" t="n">
        <v>17939.11</v>
      </c>
      <c r="D77" s="4" t="n">
        <v>17679.37</v>
      </c>
      <c r="E77" s="4">
        <f>C77-D77</f>
        <v/>
      </c>
      <c r="F77" s="5">
        <f>IFERROR(E77/D77,0)</f>
        <v/>
      </c>
    </row>
    <row r="78">
      <c r="A78" t="inlineStr">
        <is>
          <t>CC007</t>
        </is>
      </c>
      <c r="B78" t="n">
        <v>202505</v>
      </c>
      <c r="C78" s="4" t="n">
        <v>17610.84</v>
      </c>
      <c r="D78" s="4" t="n">
        <v>17818.58</v>
      </c>
      <c r="E78" s="4">
        <f>C78-D78</f>
        <v/>
      </c>
      <c r="F78" s="5">
        <f>IFERROR(E78/D78,0)</f>
        <v/>
      </c>
    </row>
    <row r="79">
      <c r="A79" t="inlineStr">
        <is>
          <t>CC007</t>
        </is>
      </c>
      <c r="B79" t="n">
        <v>202506</v>
      </c>
      <c r="C79" s="4" t="n">
        <v>19078.16</v>
      </c>
      <c r="D79" s="4" t="n">
        <v>17957.79</v>
      </c>
      <c r="E79" s="4">
        <f>C79-D79</f>
        <v/>
      </c>
      <c r="F79" s="5">
        <f>IFERROR(E79/D79,0)</f>
        <v/>
      </c>
    </row>
    <row r="80">
      <c r="A80" t="inlineStr">
        <is>
          <t>CC007</t>
        </is>
      </c>
      <c r="B80" t="n">
        <v>202507</v>
      </c>
      <c r="C80" s="4" t="n">
        <v>18394.91</v>
      </c>
      <c r="D80" s="4" t="n">
        <v>18096.99</v>
      </c>
      <c r="E80" s="4">
        <f>C80-D80</f>
        <v/>
      </c>
      <c r="F80" s="5">
        <f>IFERROR(E80/D80,0)</f>
        <v/>
      </c>
    </row>
    <row r="81">
      <c r="A81" t="inlineStr">
        <is>
          <t>CC007</t>
        </is>
      </c>
      <c r="B81" t="n">
        <v>202508</v>
      </c>
      <c r="C81" s="4" t="n">
        <v>18921.15</v>
      </c>
      <c r="D81" s="4" t="n">
        <v>18236.2</v>
      </c>
      <c r="E81" s="4">
        <f>C81-D81</f>
        <v/>
      </c>
      <c r="F81" s="5">
        <f>IFERROR(E81/D81,0)</f>
        <v/>
      </c>
    </row>
    <row r="82">
      <c r="A82" t="inlineStr">
        <is>
          <t>CC007</t>
        </is>
      </c>
      <c r="B82" t="n">
        <v>202509</v>
      </c>
      <c r="C82" s="4" t="n">
        <v>17904.68</v>
      </c>
      <c r="D82" s="4" t="n">
        <v>18375.41</v>
      </c>
      <c r="E82" s="4">
        <f>C82-D82</f>
        <v/>
      </c>
      <c r="F82" s="5">
        <f>IFERROR(E82/D82,0)</f>
        <v/>
      </c>
    </row>
    <row r="83">
      <c r="A83" t="inlineStr">
        <is>
          <t>CC007</t>
        </is>
      </c>
      <c r="B83" t="n">
        <v>202510</v>
      </c>
      <c r="C83" s="4" t="n">
        <v>19356.43</v>
      </c>
      <c r="D83" s="4" t="n">
        <v>18514.62</v>
      </c>
      <c r="E83" s="4">
        <f>C83-D83</f>
        <v/>
      </c>
      <c r="F83" s="5">
        <f>IFERROR(E83/D83,0)</f>
        <v/>
      </c>
    </row>
    <row r="84">
      <c r="A84" t="inlineStr">
        <is>
          <t>CC007</t>
        </is>
      </c>
      <c r="B84" t="n">
        <v>202511</v>
      </c>
      <c r="C84" s="4" t="n">
        <v>21561.91</v>
      </c>
      <c r="D84" s="4" t="n">
        <v>20519.21</v>
      </c>
      <c r="E84" s="4">
        <f>C84-D84</f>
        <v/>
      </c>
      <c r="F84" s="5">
        <f>IFERROR(E84/D84,0)</f>
        <v/>
      </c>
    </row>
    <row r="85">
      <c r="A85" t="inlineStr">
        <is>
          <t>CC007</t>
        </is>
      </c>
      <c r="B85" t="n">
        <v>202512</v>
      </c>
      <c r="C85" s="4" t="n">
        <v>20736.47</v>
      </c>
      <c r="D85" s="4" t="n">
        <v>20672.33</v>
      </c>
      <c r="E85" s="4">
        <f>C85-D85</f>
        <v/>
      </c>
      <c r="F85" s="5">
        <f>IFERROR(E85/D85,0)</f>
        <v/>
      </c>
    </row>
    <row r="86">
      <c r="A86" t="inlineStr">
        <is>
          <t>CC008</t>
        </is>
      </c>
      <c r="B86" t="n">
        <v>202501</v>
      </c>
      <c r="C86" s="4" t="n">
        <v>12983.27</v>
      </c>
      <c r="D86" s="4" t="n">
        <v>13441.72</v>
      </c>
      <c r="E86" s="4">
        <f>C86-D86</f>
        <v/>
      </c>
      <c r="F86" s="5">
        <f>IFERROR(E86/D86,0)</f>
        <v/>
      </c>
    </row>
    <row r="87">
      <c r="A87" t="inlineStr">
        <is>
          <t>CC008</t>
        </is>
      </c>
      <c r="B87" t="n">
        <v>202502</v>
      </c>
      <c r="C87" s="4" t="n">
        <v>12982.84</v>
      </c>
      <c r="D87" s="4" t="n">
        <v>13550.12</v>
      </c>
      <c r="E87" s="4">
        <f>C87-D87</f>
        <v/>
      </c>
      <c r="F87" s="5">
        <f>IFERROR(E87/D87,0)</f>
        <v/>
      </c>
    </row>
    <row r="88">
      <c r="A88" t="inlineStr">
        <is>
          <t>CC008</t>
        </is>
      </c>
      <c r="B88" t="n">
        <v>202503</v>
      </c>
      <c r="C88" s="4" t="n">
        <v>13051.65</v>
      </c>
      <c r="D88" s="4" t="n">
        <v>13658.53</v>
      </c>
      <c r="E88" s="4">
        <f>C88-D88</f>
        <v/>
      </c>
      <c r="F88" s="5">
        <f>IFERROR(E88/D88,0)</f>
        <v/>
      </c>
    </row>
    <row r="89">
      <c r="A89" t="inlineStr">
        <is>
          <t>CC008</t>
        </is>
      </c>
      <c r="B89" t="n">
        <v>202504</v>
      </c>
      <c r="C89" s="4" t="n">
        <v>13612.98</v>
      </c>
      <c r="D89" s="4" t="n">
        <v>13766.93</v>
      </c>
      <c r="E89" s="4">
        <f>C89-D89</f>
        <v/>
      </c>
      <c r="F89" s="5">
        <f>IFERROR(E89/D89,0)</f>
        <v/>
      </c>
    </row>
    <row r="90">
      <c r="A90" t="inlineStr">
        <is>
          <t>CC008</t>
        </is>
      </c>
      <c r="B90" t="n">
        <v>202505</v>
      </c>
      <c r="C90" s="4" t="n">
        <v>14909.26</v>
      </c>
      <c r="D90" s="4" t="n">
        <v>13875.33</v>
      </c>
      <c r="E90" s="4">
        <f>C90-D90</f>
        <v/>
      </c>
      <c r="F90" s="5">
        <f>IFERROR(E90/D90,0)</f>
        <v/>
      </c>
    </row>
    <row r="91">
      <c r="A91" t="inlineStr">
        <is>
          <t>CC008</t>
        </is>
      </c>
      <c r="B91" t="n">
        <v>202506</v>
      </c>
      <c r="C91" s="4" t="n">
        <v>14291.26</v>
      </c>
      <c r="D91" s="4" t="n">
        <v>13983.73</v>
      </c>
      <c r="E91" s="4">
        <f>C91-D91</f>
        <v/>
      </c>
      <c r="F91" s="5">
        <f>IFERROR(E91/D91,0)</f>
        <v/>
      </c>
    </row>
    <row r="92">
      <c r="A92" t="inlineStr">
        <is>
          <t>CC008</t>
        </is>
      </c>
      <c r="B92" t="n">
        <v>202507</v>
      </c>
      <c r="C92" s="4" t="n">
        <v>14269.8</v>
      </c>
      <c r="D92" s="4" t="n">
        <v>14092.13</v>
      </c>
      <c r="E92" s="4">
        <f>C92-D92</f>
        <v/>
      </c>
      <c r="F92" s="5">
        <f>IFERROR(E92/D92,0)</f>
        <v/>
      </c>
    </row>
    <row r="93">
      <c r="A93" t="inlineStr">
        <is>
          <t>CC008</t>
        </is>
      </c>
      <c r="B93" t="n">
        <v>202508</v>
      </c>
      <c r="C93" s="4" t="n">
        <v>13734.5</v>
      </c>
      <c r="D93" s="4" t="n">
        <v>14200.53</v>
      </c>
      <c r="E93" s="4">
        <f>C93-D93</f>
        <v/>
      </c>
      <c r="F93" s="5">
        <f>IFERROR(E93/D93,0)</f>
        <v/>
      </c>
    </row>
    <row r="94">
      <c r="A94" t="inlineStr">
        <is>
          <t>CC008</t>
        </is>
      </c>
      <c r="B94" t="n">
        <v>202509</v>
      </c>
      <c r="C94" s="4" t="n">
        <v>13839.92</v>
      </c>
      <c r="D94" s="4" t="n">
        <v>14308.93</v>
      </c>
      <c r="E94" s="4">
        <f>C94-D94</f>
        <v/>
      </c>
      <c r="F94" s="5">
        <f>IFERROR(E94/D94,0)</f>
        <v/>
      </c>
    </row>
    <row r="95">
      <c r="A95" t="inlineStr">
        <is>
          <t>CC008</t>
        </is>
      </c>
      <c r="B95" t="n">
        <v>202510</v>
      </c>
      <c r="C95" s="4" t="n">
        <v>14096.69</v>
      </c>
      <c r="D95" s="4" t="n">
        <v>14417.33</v>
      </c>
      <c r="E95" s="4">
        <f>C95-D95</f>
        <v/>
      </c>
      <c r="F95" s="5">
        <f>IFERROR(E95/D95,0)</f>
        <v/>
      </c>
    </row>
    <row r="96">
      <c r="A96" t="inlineStr">
        <is>
          <t>CC008</t>
        </is>
      </c>
      <c r="B96" t="n">
        <v>202511</v>
      </c>
      <c r="C96" s="4" t="n">
        <v>15986.49</v>
      </c>
      <c r="D96" s="4" t="n">
        <v>15978.31</v>
      </c>
      <c r="E96" s="4">
        <f>C96-D96</f>
        <v/>
      </c>
      <c r="F96" s="5">
        <f>IFERROR(E96/D96,0)</f>
        <v/>
      </c>
    </row>
    <row r="97">
      <c r="A97" t="inlineStr">
        <is>
          <t>CC008</t>
        </is>
      </c>
      <c r="B97" t="n">
        <v>202512</v>
      </c>
      <c r="C97" s="4" t="n">
        <v>16761.08</v>
      </c>
      <c r="D97" s="4" t="n">
        <v>16097.55</v>
      </c>
      <c r="E97" s="4">
        <f>C97-D97</f>
        <v/>
      </c>
      <c r="F97" s="5">
        <f>IFERROR(E97/D97,0)</f>
        <v/>
      </c>
    </row>
    <row r="98">
      <c r="A98" t="inlineStr">
        <is>
          <t>CC009</t>
        </is>
      </c>
      <c r="B98" t="n">
        <v>202501</v>
      </c>
      <c r="C98" s="4" t="n">
        <v>10998.45</v>
      </c>
      <c r="D98" s="4" t="n">
        <v>10462.89</v>
      </c>
      <c r="E98" s="4">
        <f>C98-D98</f>
        <v/>
      </c>
      <c r="F98" s="5">
        <f>IFERROR(E98/D98,0)</f>
        <v/>
      </c>
    </row>
    <row r="99">
      <c r="A99" t="inlineStr">
        <is>
          <t>CC009</t>
        </is>
      </c>
      <c r="B99" t="n">
        <v>202502</v>
      </c>
      <c r="C99" s="4" t="n">
        <v>11642.21</v>
      </c>
      <c r="D99" s="4" t="n">
        <v>10547.26</v>
      </c>
      <c r="E99" s="4">
        <f>C99-D99</f>
        <v/>
      </c>
      <c r="F99" s="5">
        <f>IFERROR(E99/D99,0)</f>
        <v/>
      </c>
    </row>
    <row r="100">
      <c r="A100" t="inlineStr">
        <is>
          <t>CC009</t>
        </is>
      </c>
      <c r="B100" t="n">
        <v>202503</v>
      </c>
      <c r="C100" s="4" t="n">
        <v>12126.7</v>
      </c>
      <c r="D100" s="4" t="n">
        <v>10631.64</v>
      </c>
      <c r="E100" s="4">
        <f>C100-D100</f>
        <v/>
      </c>
      <c r="F100" s="5">
        <f>IFERROR(E100/D100,0)</f>
        <v/>
      </c>
    </row>
    <row r="101">
      <c r="A101" t="inlineStr">
        <is>
          <t>CC009</t>
        </is>
      </c>
      <c r="B101" t="n">
        <v>202504</v>
      </c>
      <c r="C101" s="4" t="n">
        <v>12470.59</v>
      </c>
      <c r="D101" s="4" t="n">
        <v>10716.02</v>
      </c>
      <c r="E101" s="4">
        <f>C101-D101</f>
        <v/>
      </c>
      <c r="F101" s="5">
        <f>IFERROR(E101/D101,0)</f>
        <v/>
      </c>
    </row>
    <row r="102">
      <c r="A102" t="inlineStr">
        <is>
          <t>CC009</t>
        </is>
      </c>
      <c r="B102" t="n">
        <v>202505</v>
      </c>
      <c r="C102" s="4" t="n">
        <v>12259.9</v>
      </c>
      <c r="D102" s="4" t="n">
        <v>10800.4</v>
      </c>
      <c r="E102" s="4">
        <f>C102-D102</f>
        <v/>
      </c>
      <c r="F102" s="5">
        <f>IFERROR(E102/D102,0)</f>
        <v/>
      </c>
    </row>
    <row r="103">
      <c r="A103" t="inlineStr">
        <is>
          <t>CC009</t>
        </is>
      </c>
      <c r="B103" t="n">
        <v>202506</v>
      </c>
      <c r="C103" s="4" t="n">
        <v>11904.89</v>
      </c>
      <c r="D103" s="4" t="n">
        <v>10884.78</v>
      </c>
      <c r="E103" s="4">
        <f>C103-D103</f>
        <v/>
      </c>
      <c r="F103" s="5">
        <f>IFERROR(E103/D103,0)</f>
        <v/>
      </c>
    </row>
    <row r="104">
      <c r="A104" t="inlineStr">
        <is>
          <t>CC009</t>
        </is>
      </c>
      <c r="B104" t="n">
        <v>202507</v>
      </c>
      <c r="C104" s="4" t="n">
        <v>11931.86</v>
      </c>
      <c r="D104" s="4" t="n">
        <v>10969.15</v>
      </c>
      <c r="E104" s="4">
        <f>C104-D104</f>
        <v/>
      </c>
      <c r="F104" s="5">
        <f>IFERROR(E104/D104,0)</f>
        <v/>
      </c>
    </row>
    <row r="105">
      <c r="A105" t="inlineStr">
        <is>
          <t>CC009</t>
        </is>
      </c>
      <c r="B105" t="n">
        <v>202508</v>
      </c>
      <c r="C105" s="4" t="n">
        <v>12185.71</v>
      </c>
      <c r="D105" s="4" t="n">
        <v>11053.53</v>
      </c>
      <c r="E105" s="4">
        <f>C105-D105</f>
        <v/>
      </c>
      <c r="F105" s="5">
        <f>IFERROR(E105/D105,0)</f>
        <v/>
      </c>
    </row>
    <row r="106">
      <c r="A106" t="inlineStr">
        <is>
          <t>CC009</t>
        </is>
      </c>
      <c r="B106" t="n">
        <v>202509</v>
      </c>
      <c r="C106" s="4" t="n">
        <v>12027.21</v>
      </c>
      <c r="D106" s="4" t="n">
        <v>11137.91</v>
      </c>
      <c r="E106" s="4">
        <f>C106-D106</f>
        <v/>
      </c>
      <c r="F106" s="5">
        <f>IFERROR(E106/D106,0)</f>
        <v/>
      </c>
    </row>
    <row r="107">
      <c r="A107" t="inlineStr">
        <is>
          <t>CC009</t>
        </is>
      </c>
      <c r="B107" t="n">
        <v>202510</v>
      </c>
      <c r="C107" s="4" t="n">
        <v>12048.88</v>
      </c>
      <c r="D107" s="4" t="n">
        <v>11222.29</v>
      </c>
      <c r="E107" s="4">
        <f>C107-D107</f>
        <v/>
      </c>
      <c r="F107" s="5">
        <f>IFERROR(E107/D107,0)</f>
        <v/>
      </c>
    </row>
    <row r="108">
      <c r="A108" t="inlineStr">
        <is>
          <t>CC009</t>
        </is>
      </c>
      <c r="B108" t="n">
        <v>202511</v>
      </c>
      <c r="C108" s="4" t="n">
        <v>13790.75</v>
      </c>
      <c r="D108" s="4" t="n">
        <v>12437.33</v>
      </c>
      <c r="E108" s="4">
        <f>C108-D108</f>
        <v/>
      </c>
      <c r="F108" s="5">
        <f>IFERROR(E108/D108,0)</f>
        <v/>
      </c>
    </row>
    <row r="109">
      <c r="A109" t="inlineStr">
        <is>
          <t>CC009</t>
        </is>
      </c>
      <c r="B109" t="n">
        <v>202512</v>
      </c>
      <c r="C109" s="4" t="n">
        <v>15378.12</v>
      </c>
      <c r="D109" s="4" t="n">
        <v>12530.15</v>
      </c>
      <c r="E109" s="4">
        <f>C109-D109</f>
        <v/>
      </c>
      <c r="F109" s="5">
        <f>IFERROR(E109/D109,0)</f>
        <v/>
      </c>
    </row>
    <row r="110">
      <c r="A110" t="inlineStr">
        <is>
          <t>CC010</t>
        </is>
      </c>
      <c r="B110" t="n">
        <v>202501</v>
      </c>
      <c r="C110" s="4" t="n">
        <v>15227.32</v>
      </c>
      <c r="D110" s="4" t="n">
        <v>14859.78</v>
      </c>
      <c r="E110" s="4">
        <f>C110-D110</f>
        <v/>
      </c>
      <c r="F110" s="5">
        <f>IFERROR(E110/D110,0)</f>
        <v/>
      </c>
    </row>
    <row r="111">
      <c r="A111" t="inlineStr">
        <is>
          <t>CC010</t>
        </is>
      </c>
      <c r="B111" t="n">
        <v>202502</v>
      </c>
      <c r="C111" s="4" t="n">
        <v>15294.23</v>
      </c>
      <c r="D111" s="4" t="n">
        <v>14979.61</v>
      </c>
      <c r="E111" s="4">
        <f>C111-D111</f>
        <v/>
      </c>
      <c r="F111" s="5">
        <f>IFERROR(E111/D111,0)</f>
        <v/>
      </c>
    </row>
    <row r="112">
      <c r="A112" t="inlineStr">
        <is>
          <t>CC010</t>
        </is>
      </c>
      <c r="B112" t="n">
        <v>202503</v>
      </c>
      <c r="C112" s="4" t="n">
        <v>14343.02</v>
      </c>
      <c r="D112" s="4" t="n">
        <v>15099.45</v>
      </c>
      <c r="E112" s="4">
        <f>C112-D112</f>
        <v/>
      </c>
      <c r="F112" s="5">
        <f>IFERROR(E112/D112,0)</f>
        <v/>
      </c>
    </row>
    <row r="113">
      <c r="A113" t="inlineStr">
        <is>
          <t>CC010</t>
        </is>
      </c>
      <c r="B113" t="n">
        <v>202504</v>
      </c>
      <c r="C113" s="4" t="n">
        <v>15069.35</v>
      </c>
      <c r="D113" s="4" t="n">
        <v>15219.29</v>
      </c>
      <c r="E113" s="4">
        <f>C113-D113</f>
        <v/>
      </c>
      <c r="F113" s="5">
        <f>IFERROR(E113/D113,0)</f>
        <v/>
      </c>
    </row>
    <row r="114">
      <c r="A114" t="inlineStr">
        <is>
          <t>CC010</t>
        </is>
      </c>
      <c r="B114" t="n">
        <v>202505</v>
      </c>
      <c r="C114" s="4" t="n">
        <v>15233.85</v>
      </c>
      <c r="D114" s="4" t="n">
        <v>15339.12</v>
      </c>
      <c r="E114" s="4">
        <f>C114-D114</f>
        <v/>
      </c>
      <c r="F114" s="5">
        <f>IFERROR(E114/D114,0)</f>
        <v/>
      </c>
    </row>
    <row r="115">
      <c r="A115" t="inlineStr">
        <is>
          <t>CC010</t>
        </is>
      </c>
      <c r="B115" t="n">
        <v>202506</v>
      </c>
      <c r="C115" s="4" t="n">
        <v>16282.9</v>
      </c>
      <c r="D115" s="4" t="n">
        <v>15458.96</v>
      </c>
      <c r="E115" s="4">
        <f>C115-D115</f>
        <v/>
      </c>
      <c r="F115" s="5">
        <f>IFERROR(E115/D115,0)</f>
        <v/>
      </c>
    </row>
    <row r="116">
      <c r="A116" t="inlineStr">
        <is>
          <t>CC010</t>
        </is>
      </c>
      <c r="B116" t="n">
        <v>202507</v>
      </c>
      <c r="C116" s="4" t="n">
        <v>16421.52</v>
      </c>
      <c r="D116" s="4" t="n">
        <v>15578.8</v>
      </c>
      <c r="E116" s="4">
        <f>C116-D116</f>
        <v/>
      </c>
      <c r="F116" s="5">
        <f>IFERROR(E116/D116,0)</f>
        <v/>
      </c>
    </row>
    <row r="117">
      <c r="A117" t="inlineStr">
        <is>
          <t>CC010</t>
        </is>
      </c>
      <c r="B117" t="n">
        <v>202508</v>
      </c>
      <c r="C117" s="4" t="n">
        <v>16155.85</v>
      </c>
      <c r="D117" s="4" t="n">
        <v>15698.64</v>
      </c>
      <c r="E117" s="4">
        <f>C117-D117</f>
        <v/>
      </c>
      <c r="F117" s="5">
        <f>IFERROR(E117/D117,0)</f>
        <v/>
      </c>
    </row>
    <row r="118">
      <c r="A118" t="inlineStr">
        <is>
          <t>CC010</t>
        </is>
      </c>
      <c r="B118" t="n">
        <v>202509</v>
      </c>
      <c r="C118" s="4" t="n">
        <v>16081.66</v>
      </c>
      <c r="D118" s="4" t="n">
        <v>15818.47</v>
      </c>
      <c r="E118" s="4">
        <f>C118-D118</f>
        <v/>
      </c>
      <c r="F118" s="5">
        <f>IFERROR(E118/D118,0)</f>
        <v/>
      </c>
    </row>
    <row r="119">
      <c r="A119" t="inlineStr">
        <is>
          <t>CC010</t>
        </is>
      </c>
      <c r="B119" t="n">
        <v>202510</v>
      </c>
      <c r="C119" s="4" t="n">
        <v>15633.04</v>
      </c>
      <c r="D119" s="4" t="n">
        <v>15938.31</v>
      </c>
      <c r="E119" s="4">
        <f>C119-D119</f>
        <v/>
      </c>
      <c r="F119" s="5">
        <f>IFERROR(E119/D119,0)</f>
        <v/>
      </c>
    </row>
    <row r="120">
      <c r="A120" t="inlineStr">
        <is>
          <t>CC010</t>
        </is>
      </c>
      <c r="B120" t="n">
        <v>202511</v>
      </c>
      <c r="C120" s="4" t="n">
        <v>18531.52</v>
      </c>
      <c r="D120" s="4" t="n">
        <v>17663.96</v>
      </c>
      <c r="E120" s="4">
        <f>C120-D120</f>
        <v/>
      </c>
      <c r="F120" s="5">
        <f>IFERROR(E120/D120,0)</f>
        <v/>
      </c>
    </row>
    <row r="121">
      <c r="A121" t="inlineStr">
        <is>
          <t>CC010</t>
        </is>
      </c>
      <c r="B121" t="n">
        <v>202512</v>
      </c>
      <c r="C121" s="4" t="n">
        <v>18169.91</v>
      </c>
      <c r="D121" s="4" t="n">
        <v>17795.78</v>
      </c>
      <c r="E121" s="4">
        <f>C121-D121</f>
        <v/>
      </c>
      <c r="F121" s="5">
        <f>IFERROR(E121/D121,0)</f>
        <v/>
      </c>
    </row>
    <row r="122">
      <c r="A122" t="inlineStr">
        <is>
          <t>CC011</t>
        </is>
      </c>
      <c r="B122" t="n">
        <v>202501</v>
      </c>
      <c r="C122" s="4" t="n">
        <v>11038.11</v>
      </c>
      <c r="D122" s="4" t="n">
        <v>10810.32</v>
      </c>
      <c r="E122" s="4">
        <f>C122-D122</f>
        <v/>
      </c>
      <c r="F122" s="5">
        <f>IFERROR(E122/D122,0)</f>
        <v/>
      </c>
    </row>
    <row r="123">
      <c r="A123" t="inlineStr">
        <is>
          <t>CC011</t>
        </is>
      </c>
      <c r="B123" t="n">
        <v>202502</v>
      </c>
      <c r="C123" s="4" t="n">
        <v>11108.75</v>
      </c>
      <c r="D123" s="4" t="n">
        <v>10897.5</v>
      </c>
      <c r="E123" s="4">
        <f>C123-D123</f>
        <v/>
      </c>
      <c r="F123" s="5">
        <f>IFERROR(E123/D123,0)</f>
        <v/>
      </c>
    </row>
    <row r="124">
      <c r="A124" t="inlineStr">
        <is>
          <t>CC011</t>
        </is>
      </c>
      <c r="B124" t="n">
        <v>202503</v>
      </c>
      <c r="C124" s="4" t="n">
        <v>10587.55</v>
      </c>
      <c r="D124" s="4" t="n">
        <v>10984.68</v>
      </c>
      <c r="E124" s="4">
        <f>C124-D124</f>
        <v/>
      </c>
      <c r="F124" s="5">
        <f>IFERROR(E124/D124,0)</f>
        <v/>
      </c>
    </row>
    <row r="125">
      <c r="A125" t="inlineStr">
        <is>
          <t>CC011</t>
        </is>
      </c>
      <c r="B125" t="n">
        <v>202504</v>
      </c>
      <c r="C125" s="4" t="n">
        <v>11231.93</v>
      </c>
      <c r="D125" s="4" t="n">
        <v>11071.86</v>
      </c>
      <c r="E125" s="4">
        <f>C125-D125</f>
        <v/>
      </c>
      <c r="F125" s="5">
        <f>IFERROR(E125/D125,0)</f>
        <v/>
      </c>
    </row>
    <row r="126">
      <c r="A126" t="inlineStr">
        <is>
          <t>CC011</t>
        </is>
      </c>
      <c r="B126" t="n">
        <v>202505</v>
      </c>
      <c r="C126" s="4" t="n">
        <v>10976.08</v>
      </c>
      <c r="D126" s="4" t="n">
        <v>11159.04</v>
      </c>
      <c r="E126" s="4">
        <f>C126-D126</f>
        <v/>
      </c>
      <c r="F126" s="5">
        <f>IFERROR(E126/D126,0)</f>
        <v/>
      </c>
    </row>
    <row r="127">
      <c r="A127" t="inlineStr">
        <is>
          <t>CC011</t>
        </is>
      </c>
      <c r="B127" t="n">
        <v>202506</v>
      </c>
      <c r="C127" s="4" t="n">
        <v>10615.34</v>
      </c>
      <c r="D127" s="4" t="n">
        <v>11246.22</v>
      </c>
      <c r="E127" s="4">
        <f>C127-D127</f>
        <v/>
      </c>
      <c r="F127" s="5">
        <f>IFERROR(E127/D127,0)</f>
        <v/>
      </c>
    </row>
    <row r="128">
      <c r="A128" t="inlineStr">
        <is>
          <t>CC011</t>
        </is>
      </c>
      <c r="B128" t="n">
        <v>202507</v>
      </c>
      <c r="C128" s="4" t="n">
        <v>11039.73</v>
      </c>
      <c r="D128" s="4" t="n">
        <v>11333.4</v>
      </c>
      <c r="E128" s="4">
        <f>C128-D128</f>
        <v/>
      </c>
      <c r="F128" s="5">
        <f>IFERROR(E128/D128,0)</f>
        <v/>
      </c>
    </row>
    <row r="129">
      <c r="A129" t="inlineStr">
        <is>
          <t>CC011</t>
        </is>
      </c>
      <c r="B129" t="n">
        <v>202508</v>
      </c>
      <c r="C129" s="4" t="n">
        <v>11076.01</v>
      </c>
      <c r="D129" s="4" t="n">
        <v>11420.58</v>
      </c>
      <c r="E129" s="4">
        <f>C129-D129</f>
        <v/>
      </c>
      <c r="F129" s="5">
        <f>IFERROR(E129/D129,0)</f>
        <v/>
      </c>
    </row>
    <row r="130">
      <c r="A130" t="inlineStr">
        <is>
          <t>CC011</t>
        </is>
      </c>
      <c r="B130" t="n">
        <v>202509</v>
      </c>
      <c r="C130" s="4" t="n">
        <v>11814.71</v>
      </c>
      <c r="D130" s="4" t="n">
        <v>11507.76</v>
      </c>
      <c r="E130" s="4">
        <f>C130-D130</f>
        <v/>
      </c>
      <c r="F130" s="5">
        <f>IFERROR(E130/D130,0)</f>
        <v/>
      </c>
    </row>
    <row r="131">
      <c r="A131" t="inlineStr">
        <is>
          <t>CC011</t>
        </is>
      </c>
      <c r="B131" t="n">
        <v>202510</v>
      </c>
      <c r="C131" s="4" t="n">
        <v>12069.53</v>
      </c>
      <c r="D131" s="4" t="n">
        <v>11594.94</v>
      </c>
      <c r="E131" s="4">
        <f>C131-D131</f>
        <v/>
      </c>
      <c r="F131" s="5">
        <f>IFERROR(E131/D131,0)</f>
        <v/>
      </c>
    </row>
    <row r="132">
      <c r="A132" t="inlineStr">
        <is>
          <t>CC011</t>
        </is>
      </c>
      <c r="B132" t="n">
        <v>202511</v>
      </c>
      <c r="C132" s="4" t="n">
        <v>12784.21</v>
      </c>
      <c r="D132" s="4" t="n">
        <v>12850.34</v>
      </c>
      <c r="E132" s="4">
        <f>C132-D132</f>
        <v/>
      </c>
      <c r="F132" s="5">
        <f>IFERROR(E132/D132,0)</f>
        <v/>
      </c>
    </row>
    <row r="133">
      <c r="A133" t="inlineStr">
        <is>
          <t>CC011</t>
        </is>
      </c>
      <c r="B133" t="n">
        <v>202512</v>
      </c>
      <c r="C133" s="4" t="n">
        <v>12658.93</v>
      </c>
      <c r="D133" s="4" t="n">
        <v>12946.23</v>
      </c>
      <c r="E133" s="4">
        <f>C133-D133</f>
        <v/>
      </c>
      <c r="F133" s="5">
        <f>IFERROR(E133/D133,0)</f>
        <v/>
      </c>
    </row>
    <row r="134">
      <c r="A134" t="inlineStr">
        <is>
          <t>CC012</t>
        </is>
      </c>
      <c r="B134" t="n">
        <v>202501</v>
      </c>
      <c r="C134" s="4" t="n">
        <v>11652.93</v>
      </c>
      <c r="D134" s="4" t="n">
        <v>10525.96</v>
      </c>
      <c r="E134" s="4">
        <f>C134-D134</f>
        <v/>
      </c>
      <c r="F134" s="5">
        <f>IFERROR(E134/D134,0)</f>
        <v/>
      </c>
    </row>
    <row r="135">
      <c r="A135" t="inlineStr">
        <is>
          <t>CC012</t>
        </is>
      </c>
      <c r="B135" t="n">
        <v>202502</v>
      </c>
      <c r="C135" s="4" t="n">
        <v>11850.68</v>
      </c>
      <c r="D135" s="4" t="n">
        <v>10610.85</v>
      </c>
      <c r="E135" s="4">
        <f>C135-D135</f>
        <v/>
      </c>
      <c r="F135" s="5">
        <f>IFERROR(E135/D135,0)</f>
        <v/>
      </c>
    </row>
    <row r="136">
      <c r="A136" t="inlineStr">
        <is>
          <t>CC012</t>
        </is>
      </c>
      <c r="B136" t="n">
        <v>202503</v>
      </c>
      <c r="C136" s="4" t="n">
        <v>11632.86</v>
      </c>
      <c r="D136" s="4" t="n">
        <v>10695.74</v>
      </c>
      <c r="E136" s="4">
        <f>C136-D136</f>
        <v/>
      </c>
      <c r="F136" s="5">
        <f>IFERROR(E136/D136,0)</f>
        <v/>
      </c>
    </row>
    <row r="137">
      <c r="A137" t="inlineStr">
        <is>
          <t>CC012</t>
        </is>
      </c>
      <c r="B137" t="n">
        <v>202504</v>
      </c>
      <c r="C137" s="4" t="n">
        <v>11981.15</v>
      </c>
      <c r="D137" s="4" t="n">
        <v>10780.62</v>
      </c>
      <c r="E137" s="4">
        <f>C137-D137</f>
        <v/>
      </c>
      <c r="F137" s="5">
        <f>IFERROR(E137/D137,0)</f>
        <v/>
      </c>
    </row>
    <row r="138">
      <c r="A138" t="inlineStr">
        <is>
          <t>CC012</t>
        </is>
      </c>
      <c r="B138" t="n">
        <v>202505</v>
      </c>
      <c r="C138" s="4" t="n">
        <v>11890.12</v>
      </c>
      <c r="D138" s="4" t="n">
        <v>10865.51</v>
      </c>
      <c r="E138" s="4">
        <f>C138-D138</f>
        <v/>
      </c>
      <c r="F138" s="5">
        <f>IFERROR(E138/D138,0)</f>
        <v/>
      </c>
    </row>
    <row r="139">
      <c r="A139" t="inlineStr">
        <is>
          <t>CC012</t>
        </is>
      </c>
      <c r="B139" t="n">
        <v>202506</v>
      </c>
      <c r="C139" s="4" t="n">
        <v>12213.98</v>
      </c>
      <c r="D139" s="4" t="n">
        <v>10950.4</v>
      </c>
      <c r="E139" s="4">
        <f>C139-D139</f>
        <v/>
      </c>
      <c r="F139" s="5">
        <f>IFERROR(E139/D139,0)</f>
        <v/>
      </c>
    </row>
    <row r="140">
      <c r="A140" t="inlineStr">
        <is>
          <t>CC012</t>
        </is>
      </c>
      <c r="B140" t="n">
        <v>202507</v>
      </c>
      <c r="C140" s="4" t="n">
        <v>12588.1</v>
      </c>
      <c r="D140" s="4" t="n">
        <v>11035.28</v>
      </c>
      <c r="E140" s="4">
        <f>C140-D140</f>
        <v/>
      </c>
      <c r="F140" s="5">
        <f>IFERROR(E140/D140,0)</f>
        <v/>
      </c>
    </row>
    <row r="141">
      <c r="A141" t="inlineStr">
        <is>
          <t>CC012</t>
        </is>
      </c>
      <c r="B141" t="n">
        <v>202508</v>
      </c>
      <c r="C141" s="4" t="n">
        <v>12951.85</v>
      </c>
      <c r="D141" s="4" t="n">
        <v>11120.17</v>
      </c>
      <c r="E141" s="4">
        <f>C141-D141</f>
        <v/>
      </c>
      <c r="F141" s="5">
        <f>IFERROR(E141/D141,0)</f>
        <v/>
      </c>
    </row>
    <row r="142">
      <c r="A142" t="inlineStr">
        <is>
          <t>CC012</t>
        </is>
      </c>
      <c r="B142" t="n">
        <v>202509</v>
      </c>
      <c r="C142" s="4" t="n">
        <v>13368.85</v>
      </c>
      <c r="D142" s="4" t="n">
        <v>11205.06</v>
      </c>
      <c r="E142" s="4">
        <f>C142-D142</f>
        <v/>
      </c>
      <c r="F142" s="5">
        <f>IFERROR(E142/D142,0)</f>
        <v/>
      </c>
    </row>
    <row r="143">
      <c r="A143" t="inlineStr">
        <is>
          <t>CC012</t>
        </is>
      </c>
      <c r="B143" t="n">
        <v>202510</v>
      </c>
      <c r="C143" s="4" t="n">
        <v>13045.03</v>
      </c>
      <c r="D143" s="4" t="n">
        <v>11289.94</v>
      </c>
      <c r="E143" s="4">
        <f>C143-D143</f>
        <v/>
      </c>
      <c r="F143" s="5">
        <f>IFERROR(E143/D143,0)</f>
        <v/>
      </c>
    </row>
    <row r="144">
      <c r="A144" t="inlineStr">
        <is>
          <t>CC012</t>
        </is>
      </c>
      <c r="B144" t="n">
        <v>202511</v>
      </c>
      <c r="C144" s="4" t="n">
        <v>14048.04</v>
      </c>
      <c r="D144" s="4" t="n">
        <v>12512.31</v>
      </c>
      <c r="E144" s="4">
        <f>C144-D144</f>
        <v/>
      </c>
      <c r="F144" s="5">
        <f>IFERROR(E144/D144,0)</f>
        <v/>
      </c>
    </row>
    <row r="145">
      <c r="A145" t="inlineStr">
        <is>
          <t>CC012</t>
        </is>
      </c>
      <c r="B145" t="n">
        <v>202512</v>
      </c>
      <c r="C145" s="4" t="n">
        <v>14184.09</v>
      </c>
      <c r="D145" s="4" t="n">
        <v>12605.69</v>
      </c>
      <c r="E145" s="4">
        <f>C145-D145</f>
        <v/>
      </c>
      <c r="F145" s="5">
        <f>IFERROR(E145/D145,0)</f>
        <v/>
      </c>
    </row>
    <row r="146">
      <c r="A146" t="inlineStr">
        <is>
          <t>CC013</t>
        </is>
      </c>
      <c r="B146" t="n">
        <v>202501</v>
      </c>
      <c r="C146" s="4" t="n">
        <v>13880.91</v>
      </c>
      <c r="D146" s="4" t="n">
        <v>13530.24</v>
      </c>
      <c r="E146" s="4">
        <f>C146-D146</f>
        <v/>
      </c>
      <c r="F146" s="5">
        <f>IFERROR(E146/D146,0)</f>
        <v/>
      </c>
    </row>
    <row r="147">
      <c r="A147" t="inlineStr">
        <is>
          <t>CC013</t>
        </is>
      </c>
      <c r="B147" t="n">
        <v>202502</v>
      </c>
      <c r="C147" s="4" t="n">
        <v>13588.76</v>
      </c>
      <c r="D147" s="4" t="n">
        <v>13639.35</v>
      </c>
      <c r="E147" s="4">
        <f>C147-D147</f>
        <v/>
      </c>
      <c r="F147" s="5">
        <f>IFERROR(E147/D147,0)</f>
        <v/>
      </c>
    </row>
    <row r="148">
      <c r="A148" t="inlineStr">
        <is>
          <t>CC013</t>
        </is>
      </c>
      <c r="B148" t="n">
        <v>202503</v>
      </c>
      <c r="C148" s="4" t="n">
        <v>13393.3</v>
      </c>
      <c r="D148" s="4" t="n">
        <v>13748.47</v>
      </c>
      <c r="E148" s="4">
        <f>C148-D148</f>
        <v/>
      </c>
      <c r="F148" s="5">
        <f>IFERROR(E148/D148,0)</f>
        <v/>
      </c>
    </row>
    <row r="149">
      <c r="A149" t="inlineStr">
        <is>
          <t>CC013</t>
        </is>
      </c>
      <c r="B149" t="n">
        <v>202504</v>
      </c>
      <c r="C149" s="4" t="n">
        <v>13664.5</v>
      </c>
      <c r="D149" s="4" t="n">
        <v>13857.58</v>
      </c>
      <c r="E149" s="4">
        <f>C149-D149</f>
        <v/>
      </c>
      <c r="F149" s="5">
        <f>IFERROR(E149/D149,0)</f>
        <v/>
      </c>
    </row>
    <row r="150">
      <c r="A150" t="inlineStr">
        <is>
          <t>CC013</t>
        </is>
      </c>
      <c r="B150" t="n">
        <v>202505</v>
      </c>
      <c r="C150" s="4" t="n">
        <v>14200.23</v>
      </c>
      <c r="D150" s="4" t="n">
        <v>13966.7</v>
      </c>
      <c r="E150" s="4">
        <f>C150-D150</f>
        <v/>
      </c>
      <c r="F150" s="5">
        <f>IFERROR(E150/D150,0)</f>
        <v/>
      </c>
    </row>
    <row r="151">
      <c r="A151" t="inlineStr">
        <is>
          <t>CC013</t>
        </is>
      </c>
      <c r="B151" t="n">
        <v>202506</v>
      </c>
      <c r="C151" s="4" t="n">
        <v>13962.79</v>
      </c>
      <c r="D151" s="4" t="n">
        <v>14075.81</v>
      </c>
      <c r="E151" s="4">
        <f>C151-D151</f>
        <v/>
      </c>
      <c r="F151" s="5">
        <f>IFERROR(E151/D151,0)</f>
        <v/>
      </c>
    </row>
    <row r="152">
      <c r="A152" t="inlineStr">
        <is>
          <t>CC013</t>
        </is>
      </c>
      <c r="B152" t="n">
        <v>202507</v>
      </c>
      <c r="C152" s="4" t="n">
        <v>14604.78</v>
      </c>
      <c r="D152" s="4" t="n">
        <v>14184.93</v>
      </c>
      <c r="E152" s="4">
        <f>C152-D152</f>
        <v/>
      </c>
      <c r="F152" s="5">
        <f>IFERROR(E152/D152,0)</f>
        <v/>
      </c>
    </row>
    <row r="153">
      <c r="A153" t="inlineStr">
        <is>
          <t>CC013</t>
        </is>
      </c>
      <c r="B153" t="n">
        <v>202508</v>
      </c>
      <c r="C153" s="4" t="n">
        <v>14038.43</v>
      </c>
      <c r="D153" s="4" t="n">
        <v>14294.04</v>
      </c>
      <c r="E153" s="4">
        <f>C153-D153</f>
        <v/>
      </c>
      <c r="F153" s="5">
        <f>IFERROR(E153/D153,0)</f>
        <v/>
      </c>
    </row>
    <row r="154">
      <c r="A154" t="inlineStr">
        <is>
          <t>CC013</t>
        </is>
      </c>
      <c r="B154" t="n">
        <v>202509</v>
      </c>
      <c r="C154" s="4" t="n">
        <v>14385.02</v>
      </c>
      <c r="D154" s="4" t="n">
        <v>14403.16</v>
      </c>
      <c r="E154" s="4">
        <f>C154-D154</f>
        <v/>
      </c>
      <c r="F154" s="5">
        <f>IFERROR(E154/D154,0)</f>
        <v/>
      </c>
    </row>
    <row r="155">
      <c r="A155" t="inlineStr">
        <is>
          <t>CC013</t>
        </is>
      </c>
      <c r="B155" t="n">
        <v>202510</v>
      </c>
      <c r="C155" s="4" t="n">
        <v>13510.73</v>
      </c>
      <c r="D155" s="4" t="n">
        <v>14512.27</v>
      </c>
      <c r="E155" s="4">
        <f>C155-D155</f>
        <v/>
      </c>
      <c r="F155" s="5">
        <f>IFERROR(E155/D155,0)</f>
        <v/>
      </c>
    </row>
    <row r="156">
      <c r="A156" t="inlineStr">
        <is>
          <t>CC013</t>
        </is>
      </c>
      <c r="B156" t="n">
        <v>202511</v>
      </c>
      <c r="C156" s="4" t="n">
        <v>15453.61</v>
      </c>
      <c r="D156" s="4" t="n">
        <v>16083.52</v>
      </c>
      <c r="E156" s="4">
        <f>C156-D156</f>
        <v/>
      </c>
      <c r="F156" s="5">
        <f>IFERROR(E156/D156,0)</f>
        <v/>
      </c>
    </row>
    <row r="157">
      <c r="A157" t="inlineStr">
        <is>
          <t>CC013</t>
        </is>
      </c>
      <c r="B157" t="n">
        <v>202512</v>
      </c>
      <c r="C157" s="4" t="n">
        <v>16526.24</v>
      </c>
      <c r="D157" s="4" t="n">
        <v>16203.55</v>
      </c>
      <c r="E157" s="4">
        <f>C157-D157</f>
        <v/>
      </c>
      <c r="F157" s="5">
        <f>IFERROR(E157/D157,0)</f>
        <v/>
      </c>
    </row>
    <row r="158">
      <c r="A158" t="inlineStr">
        <is>
          <t>CC014</t>
        </is>
      </c>
      <c r="B158" t="n">
        <v>202501</v>
      </c>
      <c r="C158" s="4" t="n">
        <v>13443.53</v>
      </c>
      <c r="D158" s="4" t="n">
        <v>11633.78</v>
      </c>
      <c r="E158" s="4">
        <f>C158-D158</f>
        <v/>
      </c>
      <c r="F158" s="5">
        <f>IFERROR(E158/D158,0)</f>
        <v/>
      </c>
    </row>
    <row r="159">
      <c r="A159" t="inlineStr">
        <is>
          <t>CC014</t>
        </is>
      </c>
      <c r="B159" t="n">
        <v>202502</v>
      </c>
      <c r="C159" s="4" t="n">
        <v>13329.18</v>
      </c>
      <c r="D159" s="4" t="n">
        <v>11727.6</v>
      </c>
      <c r="E159" s="4">
        <f>C159-D159</f>
        <v/>
      </c>
      <c r="F159" s="5">
        <f>IFERROR(E159/D159,0)</f>
        <v/>
      </c>
    </row>
    <row r="160">
      <c r="A160" t="inlineStr">
        <is>
          <t>CC014</t>
        </is>
      </c>
      <c r="B160" t="n">
        <v>202503</v>
      </c>
      <c r="C160" s="4" t="n">
        <v>12657.68</v>
      </c>
      <c r="D160" s="4" t="n">
        <v>11821.42</v>
      </c>
      <c r="E160" s="4">
        <f>C160-D160</f>
        <v/>
      </c>
      <c r="F160" s="5">
        <f>IFERROR(E160/D160,0)</f>
        <v/>
      </c>
    </row>
    <row r="161">
      <c r="A161" t="inlineStr">
        <is>
          <t>CC014</t>
        </is>
      </c>
      <c r="B161" t="n">
        <v>202504</v>
      </c>
      <c r="C161" s="4" t="n">
        <v>13122.64</v>
      </c>
      <c r="D161" s="4" t="n">
        <v>11915.24</v>
      </c>
      <c r="E161" s="4">
        <f>C161-D161</f>
        <v/>
      </c>
      <c r="F161" s="5">
        <f>IFERROR(E161/D161,0)</f>
        <v/>
      </c>
    </row>
    <row r="162">
      <c r="A162" t="inlineStr">
        <is>
          <t>CC014</t>
        </is>
      </c>
      <c r="B162" t="n">
        <v>202505</v>
      </c>
      <c r="C162" s="4" t="n">
        <v>13079.15</v>
      </c>
      <c r="D162" s="4" t="n">
        <v>12009.06</v>
      </c>
      <c r="E162" s="4">
        <f>C162-D162</f>
        <v/>
      </c>
      <c r="F162" s="5">
        <f>IFERROR(E162/D162,0)</f>
        <v/>
      </c>
    </row>
    <row r="163">
      <c r="A163" t="inlineStr">
        <is>
          <t>CC014</t>
        </is>
      </c>
      <c r="B163" t="n">
        <v>202506</v>
      </c>
      <c r="C163" s="4" t="n">
        <v>14029.99</v>
      </c>
      <c r="D163" s="4" t="n">
        <v>12102.88</v>
      </c>
      <c r="E163" s="4">
        <f>C163-D163</f>
        <v/>
      </c>
      <c r="F163" s="5">
        <f>IFERROR(E163/D163,0)</f>
        <v/>
      </c>
    </row>
    <row r="164">
      <c r="A164" t="inlineStr">
        <is>
          <t>CC014</t>
        </is>
      </c>
      <c r="B164" t="n">
        <v>202507</v>
      </c>
      <c r="C164" s="4" t="n">
        <v>13868.5</v>
      </c>
      <c r="D164" s="4" t="n">
        <v>12196.7</v>
      </c>
      <c r="E164" s="4">
        <f>C164-D164</f>
        <v/>
      </c>
      <c r="F164" s="5">
        <f>IFERROR(E164/D164,0)</f>
        <v/>
      </c>
    </row>
    <row r="165">
      <c r="A165" t="inlineStr">
        <is>
          <t>CC014</t>
        </is>
      </c>
      <c r="B165" t="n">
        <v>202508</v>
      </c>
      <c r="C165" s="4" t="n">
        <v>13835.67</v>
      </c>
      <c r="D165" s="4" t="n">
        <v>12290.52</v>
      </c>
      <c r="E165" s="4">
        <f>C165-D165</f>
        <v/>
      </c>
      <c r="F165" s="5">
        <f>IFERROR(E165/D165,0)</f>
        <v/>
      </c>
    </row>
    <row r="166">
      <c r="A166" t="inlineStr">
        <is>
          <t>CC014</t>
        </is>
      </c>
      <c r="B166" t="n">
        <v>202509</v>
      </c>
      <c r="C166" s="4" t="n">
        <v>13732.84</v>
      </c>
      <c r="D166" s="4" t="n">
        <v>12384.34</v>
      </c>
      <c r="E166" s="4">
        <f>C166-D166</f>
        <v/>
      </c>
      <c r="F166" s="5">
        <f>IFERROR(E166/D166,0)</f>
        <v/>
      </c>
    </row>
    <row r="167">
      <c r="A167" t="inlineStr">
        <is>
          <t>CC014</t>
        </is>
      </c>
      <c r="B167" t="n">
        <v>202510</v>
      </c>
      <c r="C167" s="4" t="n">
        <v>14383.84</v>
      </c>
      <c r="D167" s="4" t="n">
        <v>12478.16</v>
      </c>
      <c r="E167" s="4">
        <f>C167-D167</f>
        <v/>
      </c>
      <c r="F167" s="5">
        <f>IFERROR(E167/D167,0)</f>
        <v/>
      </c>
    </row>
    <row r="168">
      <c r="A168" t="inlineStr">
        <is>
          <t>CC014</t>
        </is>
      </c>
      <c r="B168" t="n">
        <v>202511</v>
      </c>
      <c r="C168" s="4" t="n">
        <v>16241.54</v>
      </c>
      <c r="D168" s="4" t="n">
        <v>13829.18</v>
      </c>
      <c r="E168" s="4">
        <f>C168-D168</f>
        <v/>
      </c>
      <c r="F168" s="5">
        <f>IFERROR(E168/D168,0)</f>
        <v/>
      </c>
    </row>
    <row r="169">
      <c r="A169" t="inlineStr">
        <is>
          <t>CC014</t>
        </is>
      </c>
      <c r="B169" t="n">
        <v>202512</v>
      </c>
      <c r="C169" s="4" t="n">
        <v>16403.04</v>
      </c>
      <c r="D169" s="4" t="n">
        <v>13932.38</v>
      </c>
      <c r="E169" s="4">
        <f>C169-D169</f>
        <v/>
      </c>
      <c r="F169" s="5">
        <f>IFERROR(E169/D169,0)</f>
        <v/>
      </c>
    </row>
    <row r="170">
      <c r="A170" t="inlineStr">
        <is>
          <t>CC015</t>
        </is>
      </c>
      <c r="B170" t="n">
        <v>202501</v>
      </c>
      <c r="C170" s="4" t="n">
        <v>14114.51</v>
      </c>
      <c r="D170" s="4" t="n">
        <v>14517.29</v>
      </c>
      <c r="E170" s="4">
        <f>C170-D170</f>
        <v/>
      </c>
      <c r="F170" s="5">
        <f>IFERROR(E170/D170,0)</f>
        <v/>
      </c>
    </row>
    <row r="171">
      <c r="A171" t="inlineStr">
        <is>
          <t>CC015</t>
        </is>
      </c>
      <c r="B171" t="n">
        <v>202502</v>
      </c>
      <c r="C171" s="4" t="n">
        <v>14658</v>
      </c>
      <c r="D171" s="4" t="n">
        <v>14634.36</v>
      </c>
      <c r="E171" s="4">
        <f>C171-D171</f>
        <v/>
      </c>
      <c r="F171" s="5">
        <f>IFERROR(E171/D171,0)</f>
        <v/>
      </c>
    </row>
    <row r="172">
      <c r="A172" t="inlineStr">
        <is>
          <t>CC015</t>
        </is>
      </c>
      <c r="B172" t="n">
        <v>202503</v>
      </c>
      <c r="C172" s="4" t="n">
        <v>14580.5</v>
      </c>
      <c r="D172" s="4" t="n">
        <v>14751.44</v>
      </c>
      <c r="E172" s="4">
        <f>C172-D172</f>
        <v/>
      </c>
      <c r="F172" s="5">
        <f>IFERROR(E172/D172,0)</f>
        <v/>
      </c>
    </row>
    <row r="173">
      <c r="A173" t="inlineStr">
        <is>
          <t>CC015</t>
        </is>
      </c>
      <c r="B173" t="n">
        <v>202504</v>
      </c>
      <c r="C173" s="4" t="n">
        <v>14890.53</v>
      </c>
      <c r="D173" s="4" t="n">
        <v>14868.51</v>
      </c>
      <c r="E173" s="4">
        <f>C173-D173</f>
        <v/>
      </c>
      <c r="F173" s="5">
        <f>IFERROR(E173/D173,0)</f>
        <v/>
      </c>
    </row>
    <row r="174">
      <c r="A174" t="inlineStr">
        <is>
          <t>CC015</t>
        </is>
      </c>
      <c r="B174" t="n">
        <v>202505</v>
      </c>
      <c r="C174" s="4" t="n">
        <v>14515.76</v>
      </c>
      <c r="D174" s="4" t="n">
        <v>14985.59</v>
      </c>
      <c r="E174" s="4">
        <f>C174-D174</f>
        <v/>
      </c>
      <c r="F174" s="5">
        <f>IFERROR(E174/D174,0)</f>
        <v/>
      </c>
    </row>
    <row r="175">
      <c r="A175" t="inlineStr">
        <is>
          <t>CC015</t>
        </is>
      </c>
      <c r="B175" t="n">
        <v>202506</v>
      </c>
      <c r="C175" s="4" t="n">
        <v>15595.11</v>
      </c>
      <c r="D175" s="4" t="n">
        <v>15102.66</v>
      </c>
      <c r="E175" s="4">
        <f>C175-D175</f>
        <v/>
      </c>
      <c r="F175" s="5">
        <f>IFERROR(E175/D175,0)</f>
        <v/>
      </c>
    </row>
    <row r="176">
      <c r="A176" t="inlineStr">
        <is>
          <t>CC015</t>
        </is>
      </c>
      <c r="B176" t="n">
        <v>202507</v>
      </c>
      <c r="C176" s="4" t="n">
        <v>15272.77</v>
      </c>
      <c r="D176" s="4" t="n">
        <v>15219.74</v>
      </c>
      <c r="E176" s="4">
        <f>C176-D176</f>
        <v/>
      </c>
      <c r="F176" s="5">
        <f>IFERROR(E176/D176,0)</f>
        <v/>
      </c>
    </row>
    <row r="177">
      <c r="A177" t="inlineStr">
        <is>
          <t>CC015</t>
        </is>
      </c>
      <c r="B177" t="n">
        <v>202508</v>
      </c>
      <c r="C177" s="4" t="n">
        <v>15346.01</v>
      </c>
      <c r="D177" s="4" t="n">
        <v>15336.81</v>
      </c>
      <c r="E177" s="4">
        <f>C177-D177</f>
        <v/>
      </c>
      <c r="F177" s="5">
        <f>IFERROR(E177/D177,0)</f>
        <v/>
      </c>
    </row>
    <row r="178">
      <c r="A178" t="inlineStr">
        <is>
          <t>CC015</t>
        </is>
      </c>
      <c r="B178" t="n">
        <v>202509</v>
      </c>
      <c r="C178" s="4" t="n">
        <v>15418.77</v>
      </c>
      <c r="D178" s="4" t="n">
        <v>15453.89</v>
      </c>
      <c r="E178" s="4">
        <f>C178-D178</f>
        <v/>
      </c>
      <c r="F178" s="5">
        <f>IFERROR(E178/D178,0)</f>
        <v/>
      </c>
    </row>
    <row r="179">
      <c r="A179" t="inlineStr">
        <is>
          <t>CC015</t>
        </is>
      </c>
      <c r="B179" t="n">
        <v>202510</v>
      </c>
      <c r="C179" s="4" t="n">
        <v>15969.1</v>
      </c>
      <c r="D179" s="4" t="n">
        <v>15570.96</v>
      </c>
      <c r="E179" s="4">
        <f>C179-D179</f>
        <v/>
      </c>
      <c r="F179" s="5">
        <f>IFERROR(E179/D179,0)</f>
        <v/>
      </c>
    </row>
    <row r="180">
      <c r="A180" t="inlineStr">
        <is>
          <t>CC015</t>
        </is>
      </c>
      <c r="B180" t="n">
        <v>202511</v>
      </c>
      <c r="C180" s="4" t="n">
        <v>17152.69</v>
      </c>
      <c r="D180" s="4" t="n">
        <v>17256.84</v>
      </c>
      <c r="E180" s="4">
        <f>C180-D180</f>
        <v/>
      </c>
      <c r="F180" s="5">
        <f>IFERROR(E180/D180,0)</f>
        <v/>
      </c>
    </row>
    <row r="181">
      <c r="A181" t="inlineStr">
        <is>
          <t>CC015</t>
        </is>
      </c>
      <c r="B181" t="n">
        <v>202512</v>
      </c>
      <c r="C181" s="4" t="n">
        <v>17588.88</v>
      </c>
      <c r="D181" s="4" t="n">
        <v>17385.62</v>
      </c>
      <c r="E181" s="4">
        <f>C181-D181</f>
        <v/>
      </c>
      <c r="F181" s="5">
        <f>IFERROR(E181/D181,0)</f>
        <v/>
      </c>
    </row>
    <row r="182">
      <c r="A182" t="inlineStr">
        <is>
          <t>CC016</t>
        </is>
      </c>
      <c r="B182" t="n">
        <v>202501</v>
      </c>
      <c r="C182" s="4" t="n">
        <v>13774.13</v>
      </c>
      <c r="D182" s="4" t="n">
        <v>13498.91</v>
      </c>
      <c r="E182" s="4">
        <f>C182-D182</f>
        <v/>
      </c>
      <c r="F182" s="5">
        <f>IFERROR(E182/D182,0)</f>
        <v/>
      </c>
    </row>
    <row r="183">
      <c r="A183" t="inlineStr">
        <is>
          <t>CC016</t>
        </is>
      </c>
      <c r="B183" t="n">
        <v>202502</v>
      </c>
      <c r="C183" s="4" t="n">
        <v>13337.53</v>
      </c>
      <c r="D183" s="4" t="n">
        <v>13607.77</v>
      </c>
      <c r="E183" s="4">
        <f>C183-D183</f>
        <v/>
      </c>
      <c r="F183" s="5">
        <f>IFERROR(E183/D183,0)</f>
        <v/>
      </c>
    </row>
    <row r="184">
      <c r="A184" t="inlineStr">
        <is>
          <t>CC016</t>
        </is>
      </c>
      <c r="B184" t="n">
        <v>202503</v>
      </c>
      <c r="C184" s="4" t="n">
        <v>13207.34</v>
      </c>
      <c r="D184" s="4" t="n">
        <v>13716.63</v>
      </c>
      <c r="E184" s="4">
        <f>C184-D184</f>
        <v/>
      </c>
      <c r="F184" s="5">
        <f>IFERROR(E184/D184,0)</f>
        <v/>
      </c>
    </row>
    <row r="185">
      <c r="A185" t="inlineStr">
        <is>
          <t>CC016</t>
        </is>
      </c>
      <c r="B185" t="n">
        <v>202504</v>
      </c>
      <c r="C185" s="4" t="n">
        <v>14462.79</v>
      </c>
      <c r="D185" s="4" t="n">
        <v>13825.5</v>
      </c>
      <c r="E185" s="4">
        <f>C185-D185</f>
        <v/>
      </c>
      <c r="F185" s="5">
        <f>IFERROR(E185/D185,0)</f>
        <v/>
      </c>
    </row>
    <row r="186">
      <c r="A186" t="inlineStr">
        <is>
          <t>CC016</t>
        </is>
      </c>
      <c r="B186" t="n">
        <v>202505</v>
      </c>
      <c r="C186" s="4" t="n">
        <v>13444.89</v>
      </c>
      <c r="D186" s="4" t="n">
        <v>13934.36</v>
      </c>
      <c r="E186" s="4">
        <f>C186-D186</f>
        <v/>
      </c>
      <c r="F186" s="5">
        <f>IFERROR(E186/D186,0)</f>
        <v/>
      </c>
    </row>
    <row r="187">
      <c r="A187" t="inlineStr">
        <is>
          <t>CC016</t>
        </is>
      </c>
      <c r="B187" t="n">
        <v>202506</v>
      </c>
      <c r="C187" s="4" t="n">
        <v>14181.56</v>
      </c>
      <c r="D187" s="4" t="n">
        <v>14043.22</v>
      </c>
      <c r="E187" s="4">
        <f>C187-D187</f>
        <v/>
      </c>
      <c r="F187" s="5">
        <f>IFERROR(E187/D187,0)</f>
        <v/>
      </c>
    </row>
    <row r="188">
      <c r="A188" t="inlineStr">
        <is>
          <t>CC016</t>
        </is>
      </c>
      <c r="B188" t="n">
        <v>202507</v>
      </c>
      <c r="C188" s="4" t="n">
        <v>13845.15</v>
      </c>
      <c r="D188" s="4" t="n">
        <v>14152.08</v>
      </c>
      <c r="E188" s="4">
        <f>C188-D188</f>
        <v/>
      </c>
      <c r="F188" s="5">
        <f>IFERROR(E188/D188,0)</f>
        <v/>
      </c>
    </row>
    <row r="189">
      <c r="A189" t="inlineStr">
        <is>
          <t>CC016</t>
        </is>
      </c>
      <c r="B189" t="n">
        <v>202508</v>
      </c>
      <c r="C189" s="4" t="n">
        <v>14869.96</v>
      </c>
      <c r="D189" s="4" t="n">
        <v>14260.94</v>
      </c>
      <c r="E189" s="4">
        <f>C189-D189</f>
        <v/>
      </c>
      <c r="F189" s="5">
        <f>IFERROR(E189/D189,0)</f>
        <v/>
      </c>
    </row>
    <row r="190">
      <c r="A190" t="inlineStr">
        <is>
          <t>CC016</t>
        </is>
      </c>
      <c r="B190" t="n">
        <v>202509</v>
      </c>
      <c r="C190" s="4" t="n">
        <v>13670.5</v>
      </c>
      <c r="D190" s="4" t="n">
        <v>14369.81</v>
      </c>
      <c r="E190" s="4">
        <f>C190-D190</f>
        <v/>
      </c>
      <c r="F190" s="5">
        <f>IFERROR(E190/D190,0)</f>
        <v/>
      </c>
    </row>
    <row r="191">
      <c r="A191" t="inlineStr">
        <is>
          <t>CC016</t>
        </is>
      </c>
      <c r="B191" t="n">
        <v>202510</v>
      </c>
      <c r="C191" s="4" t="n">
        <v>14483.95</v>
      </c>
      <c r="D191" s="4" t="n">
        <v>14478.67</v>
      </c>
      <c r="E191" s="4">
        <f>C191-D191</f>
        <v/>
      </c>
      <c r="F191" s="5">
        <f>IFERROR(E191/D191,0)</f>
        <v/>
      </c>
    </row>
    <row r="192">
      <c r="A192" t="inlineStr">
        <is>
          <t>CC016</t>
        </is>
      </c>
      <c r="B192" t="n">
        <v>202511</v>
      </c>
      <c r="C192" s="4" t="n">
        <v>15803.16</v>
      </c>
      <c r="D192" s="4" t="n">
        <v>16046.28</v>
      </c>
      <c r="E192" s="4">
        <f>C192-D192</f>
        <v/>
      </c>
      <c r="F192" s="5">
        <f>IFERROR(E192/D192,0)</f>
        <v/>
      </c>
    </row>
    <row r="193">
      <c r="A193" t="inlineStr">
        <is>
          <t>CC016</t>
        </is>
      </c>
      <c r="B193" t="n">
        <v>202512</v>
      </c>
      <c r="C193" s="4" t="n">
        <v>15263.07</v>
      </c>
      <c r="D193" s="4" t="n">
        <v>16166.03</v>
      </c>
      <c r="E193" s="4">
        <f>C193-D193</f>
        <v/>
      </c>
      <c r="F193" s="5">
        <f>IFERROR(E193/D193,0)</f>
        <v/>
      </c>
    </row>
    <row r="194">
      <c r="A194" t="inlineStr">
        <is>
          <t>CC017</t>
        </is>
      </c>
      <c r="B194" t="n">
        <v>202501</v>
      </c>
      <c r="C194" s="4" t="n">
        <v>13074.37</v>
      </c>
      <c r="D194" s="4" t="n">
        <v>13238</v>
      </c>
      <c r="E194" s="4">
        <f>C194-D194</f>
        <v/>
      </c>
      <c r="F194" s="5">
        <f>IFERROR(E194/D194,0)</f>
        <v/>
      </c>
    </row>
    <row r="195">
      <c r="A195" t="inlineStr">
        <is>
          <t>CC017</t>
        </is>
      </c>
      <c r="B195" t="n">
        <v>202502</v>
      </c>
      <c r="C195" s="4" t="n">
        <v>13870.54</v>
      </c>
      <c r="D195" s="4" t="n">
        <v>13344.76</v>
      </c>
      <c r="E195" s="4">
        <f>C195-D195</f>
        <v/>
      </c>
      <c r="F195" s="5">
        <f>IFERROR(E195/D195,0)</f>
        <v/>
      </c>
    </row>
    <row r="196">
      <c r="A196" t="inlineStr">
        <is>
          <t>CC017</t>
        </is>
      </c>
      <c r="B196" t="n">
        <v>202503</v>
      </c>
      <c r="C196" s="4" t="n">
        <v>13566.07</v>
      </c>
      <c r="D196" s="4" t="n">
        <v>13451.52</v>
      </c>
      <c r="E196" s="4">
        <f>C196-D196</f>
        <v/>
      </c>
      <c r="F196" s="5">
        <f>IFERROR(E196/D196,0)</f>
        <v/>
      </c>
    </row>
    <row r="197">
      <c r="A197" t="inlineStr">
        <is>
          <t>CC017</t>
        </is>
      </c>
      <c r="B197" t="n">
        <v>202504</v>
      </c>
      <c r="C197" s="4" t="n">
        <v>12660.27</v>
      </c>
      <c r="D197" s="4" t="n">
        <v>13558.28</v>
      </c>
      <c r="E197" s="4">
        <f>C197-D197</f>
        <v/>
      </c>
      <c r="F197" s="5">
        <f>IFERROR(E197/D197,0)</f>
        <v/>
      </c>
    </row>
    <row r="198">
      <c r="A198" t="inlineStr">
        <is>
          <t>CC017</t>
        </is>
      </c>
      <c r="B198" t="n">
        <v>202505</v>
      </c>
      <c r="C198" s="4" t="n">
        <v>13274.85</v>
      </c>
      <c r="D198" s="4" t="n">
        <v>13665.03</v>
      </c>
      <c r="E198" s="4">
        <f>C198-D198</f>
        <v/>
      </c>
      <c r="F198" s="5">
        <f>IFERROR(E198/D198,0)</f>
        <v/>
      </c>
    </row>
    <row r="199">
      <c r="A199" t="inlineStr">
        <is>
          <t>CC017</t>
        </is>
      </c>
      <c r="B199" t="n">
        <v>202506</v>
      </c>
      <c r="C199" s="4" t="n">
        <v>13340.59</v>
      </c>
      <c r="D199" s="4" t="n">
        <v>13771.79</v>
      </c>
      <c r="E199" s="4">
        <f>C199-D199</f>
        <v/>
      </c>
      <c r="F199" s="5">
        <f>IFERROR(E199/D199,0)</f>
        <v/>
      </c>
    </row>
    <row r="200">
      <c r="A200" t="inlineStr">
        <is>
          <t>CC017</t>
        </is>
      </c>
      <c r="B200" t="n">
        <v>202507</v>
      </c>
      <c r="C200" s="4" t="n">
        <v>14551.28</v>
      </c>
      <c r="D200" s="4" t="n">
        <v>13878.55</v>
      </c>
      <c r="E200" s="4">
        <f>C200-D200</f>
        <v/>
      </c>
      <c r="F200" s="5">
        <f>IFERROR(E200/D200,0)</f>
        <v/>
      </c>
    </row>
    <row r="201">
      <c r="A201" t="inlineStr">
        <is>
          <t>CC017</t>
        </is>
      </c>
      <c r="B201" t="n">
        <v>202508</v>
      </c>
      <c r="C201" s="4" t="n">
        <v>14249.95</v>
      </c>
      <c r="D201" s="4" t="n">
        <v>13985.31</v>
      </c>
      <c r="E201" s="4">
        <f>C201-D201</f>
        <v/>
      </c>
      <c r="F201" s="5">
        <f>IFERROR(E201/D201,0)</f>
        <v/>
      </c>
    </row>
    <row r="202">
      <c r="A202" t="inlineStr">
        <is>
          <t>CC017</t>
        </is>
      </c>
      <c r="B202" t="n">
        <v>202509</v>
      </c>
      <c r="C202" s="4" t="n">
        <v>14120.07</v>
      </c>
      <c r="D202" s="4" t="n">
        <v>14092.07</v>
      </c>
      <c r="E202" s="4">
        <f>C202-D202</f>
        <v/>
      </c>
      <c r="F202" s="5">
        <f>IFERROR(E202/D202,0)</f>
        <v/>
      </c>
    </row>
    <row r="203">
      <c r="A203" t="inlineStr">
        <is>
          <t>CC017</t>
        </is>
      </c>
      <c r="B203" t="n">
        <v>202510</v>
      </c>
      <c r="C203" s="4" t="n">
        <v>13345.04</v>
      </c>
      <c r="D203" s="4" t="n">
        <v>14198.82</v>
      </c>
      <c r="E203" s="4">
        <f>C203-D203</f>
        <v/>
      </c>
      <c r="F203" s="5">
        <f>IFERROR(E203/D203,0)</f>
        <v/>
      </c>
    </row>
    <row r="204">
      <c r="A204" t="inlineStr">
        <is>
          <t>CC017</t>
        </is>
      </c>
      <c r="B204" t="n">
        <v>202511</v>
      </c>
      <c r="C204" s="4" t="n">
        <v>16426.02</v>
      </c>
      <c r="D204" s="4" t="n">
        <v>15736.14</v>
      </c>
      <c r="E204" s="4">
        <f>C204-D204</f>
        <v/>
      </c>
      <c r="F204" s="5">
        <f>IFERROR(E204/D204,0)</f>
        <v/>
      </c>
    </row>
    <row r="205">
      <c r="A205" t="inlineStr">
        <is>
          <t>CC017</t>
        </is>
      </c>
      <c r="B205" t="n">
        <v>202512</v>
      </c>
      <c r="C205" s="4" t="n">
        <v>15974.67</v>
      </c>
      <c r="D205" s="4" t="n">
        <v>15853.57</v>
      </c>
      <c r="E205" s="4">
        <f>C205-D205</f>
        <v/>
      </c>
      <c r="F205" s="5">
        <f>IFERROR(E205/D205,0)</f>
        <v/>
      </c>
    </row>
    <row r="206">
      <c r="A206" t="inlineStr">
        <is>
          <t>CC018</t>
        </is>
      </c>
      <c r="B206" t="n">
        <v>202501</v>
      </c>
      <c r="C206" s="4" t="n">
        <v>20191.03</v>
      </c>
      <c r="D206" s="4" t="n">
        <v>18978.24</v>
      </c>
      <c r="E206" s="4">
        <f>C206-D206</f>
        <v/>
      </c>
      <c r="F206" s="5">
        <f>IFERROR(E206/D206,0)</f>
        <v/>
      </c>
    </row>
    <row r="207">
      <c r="A207" t="inlineStr">
        <is>
          <t>CC018</t>
        </is>
      </c>
      <c r="B207" t="n">
        <v>202502</v>
      </c>
      <c r="C207" s="4" t="n">
        <v>21006.14</v>
      </c>
      <c r="D207" s="4" t="n">
        <v>19131.3</v>
      </c>
      <c r="E207" s="4">
        <f>C207-D207</f>
        <v/>
      </c>
      <c r="F207" s="5">
        <f>IFERROR(E207/D207,0)</f>
        <v/>
      </c>
    </row>
    <row r="208">
      <c r="A208" t="inlineStr">
        <is>
          <t>CC018</t>
        </is>
      </c>
      <c r="B208" t="n">
        <v>202503</v>
      </c>
      <c r="C208" s="4" t="n">
        <v>21254.71</v>
      </c>
      <c r="D208" s="4" t="n">
        <v>19284.35</v>
      </c>
      <c r="E208" s="4">
        <f>C208-D208</f>
        <v/>
      </c>
      <c r="F208" s="5">
        <f>IFERROR(E208/D208,0)</f>
        <v/>
      </c>
    </row>
    <row r="209">
      <c r="A209" t="inlineStr">
        <is>
          <t>CC018</t>
        </is>
      </c>
      <c r="B209" t="n">
        <v>202504</v>
      </c>
      <c r="C209" s="4" t="n">
        <v>20937.29</v>
      </c>
      <c r="D209" s="4" t="n">
        <v>19437.4</v>
      </c>
      <c r="E209" s="4">
        <f>C209-D209</f>
        <v/>
      </c>
      <c r="F209" s="5">
        <f>IFERROR(E209/D209,0)</f>
        <v/>
      </c>
    </row>
    <row r="210">
      <c r="A210" t="inlineStr">
        <is>
          <t>CC018</t>
        </is>
      </c>
      <c r="B210" t="n">
        <v>202505</v>
      </c>
      <c r="C210" s="4" t="n">
        <v>20241.16</v>
      </c>
      <c r="D210" s="4" t="n">
        <v>19590.45</v>
      </c>
      <c r="E210" s="4">
        <f>C210-D210</f>
        <v/>
      </c>
      <c r="F210" s="5">
        <f>IFERROR(E210/D210,0)</f>
        <v/>
      </c>
    </row>
    <row r="211">
      <c r="A211" t="inlineStr">
        <is>
          <t>CC018</t>
        </is>
      </c>
      <c r="B211" t="n">
        <v>202506</v>
      </c>
      <c r="C211" s="4" t="n">
        <v>21848.45</v>
      </c>
      <c r="D211" s="4" t="n">
        <v>19743.5</v>
      </c>
      <c r="E211" s="4">
        <f>C211-D211</f>
        <v/>
      </c>
      <c r="F211" s="5">
        <f>IFERROR(E211/D211,0)</f>
        <v/>
      </c>
    </row>
    <row r="212">
      <c r="A212" t="inlineStr">
        <is>
          <t>CC018</t>
        </is>
      </c>
      <c r="B212" t="n">
        <v>202507</v>
      </c>
      <c r="C212" s="4" t="n">
        <v>22510.1</v>
      </c>
      <c r="D212" s="4" t="n">
        <v>19896.55</v>
      </c>
      <c r="E212" s="4">
        <f>C212-D212</f>
        <v/>
      </c>
      <c r="F212" s="5">
        <f>IFERROR(E212/D212,0)</f>
        <v/>
      </c>
    </row>
    <row r="213">
      <c r="A213" t="inlineStr">
        <is>
          <t>CC018</t>
        </is>
      </c>
      <c r="B213" t="n">
        <v>202508</v>
      </c>
      <c r="C213" s="4" t="n">
        <v>21302.75</v>
      </c>
      <c r="D213" s="4" t="n">
        <v>20049.6</v>
      </c>
      <c r="E213" s="4">
        <f>C213-D213</f>
        <v/>
      </c>
      <c r="F213" s="5">
        <f>IFERROR(E213/D213,0)</f>
        <v/>
      </c>
    </row>
    <row r="214">
      <c r="A214" t="inlineStr">
        <is>
          <t>CC018</t>
        </is>
      </c>
      <c r="B214" t="n">
        <v>202509</v>
      </c>
      <c r="C214" s="4" t="n">
        <v>22318.44</v>
      </c>
      <c r="D214" s="4" t="n">
        <v>20202.65</v>
      </c>
      <c r="E214" s="4">
        <f>C214-D214</f>
        <v/>
      </c>
      <c r="F214" s="5">
        <f>IFERROR(E214/D214,0)</f>
        <v/>
      </c>
    </row>
    <row r="215">
      <c r="A215" t="inlineStr">
        <is>
          <t>CC018</t>
        </is>
      </c>
      <c r="B215" t="n">
        <v>202510</v>
      </c>
      <c r="C215" s="4" t="n">
        <v>21811.16</v>
      </c>
      <c r="D215" s="4" t="n">
        <v>20355.7</v>
      </c>
      <c r="E215" s="4">
        <f>C215-D215</f>
        <v/>
      </c>
      <c r="F215" s="5">
        <f>IFERROR(E215/D215,0)</f>
        <v/>
      </c>
    </row>
    <row r="216">
      <c r="A216" t="inlineStr">
        <is>
          <t>CC018</t>
        </is>
      </c>
      <c r="B216" t="n">
        <v>202511</v>
      </c>
      <c r="C216" s="4" t="n">
        <v>24490.94</v>
      </c>
      <c r="D216" s="4" t="n">
        <v>22559.62</v>
      </c>
      <c r="E216" s="4">
        <f>C216-D216</f>
        <v/>
      </c>
      <c r="F216" s="5">
        <f>IFERROR(E216/D216,0)</f>
        <v/>
      </c>
    </row>
    <row r="217">
      <c r="A217" t="inlineStr">
        <is>
          <t>CC018</t>
        </is>
      </c>
      <c r="B217" t="n">
        <v>202512</v>
      </c>
      <c r="C217" s="4" t="n">
        <v>26312.02</v>
      </c>
      <c r="D217" s="4" t="n">
        <v>22727.98</v>
      </c>
      <c r="E217" s="4">
        <f>C217-D217</f>
        <v/>
      </c>
      <c r="F217" s="5">
        <f>IFERROR(E217/D217,0)</f>
        <v/>
      </c>
    </row>
    <row r="218">
      <c r="A218" t="inlineStr">
        <is>
          <t>CC019</t>
        </is>
      </c>
      <c r="B218" t="n">
        <v>202501</v>
      </c>
      <c r="C218" s="4" t="n">
        <v>16674.45</v>
      </c>
      <c r="D218" s="4" t="n">
        <v>14783.21</v>
      </c>
      <c r="E218" s="4">
        <f>C218-D218</f>
        <v/>
      </c>
      <c r="F218" s="5">
        <f>IFERROR(E218/D218,0)</f>
        <v/>
      </c>
    </row>
    <row r="219">
      <c r="A219" t="inlineStr">
        <is>
          <t>CC019</t>
        </is>
      </c>
      <c r="B219" t="n">
        <v>202502</v>
      </c>
      <c r="C219" s="4" t="n">
        <v>17074.55</v>
      </c>
      <c r="D219" s="4" t="n">
        <v>14902.43</v>
      </c>
      <c r="E219" s="4">
        <f>C219-D219</f>
        <v/>
      </c>
      <c r="F219" s="5">
        <f>IFERROR(E219/D219,0)</f>
        <v/>
      </c>
    </row>
    <row r="220">
      <c r="A220" t="inlineStr">
        <is>
          <t>CC019</t>
        </is>
      </c>
      <c r="B220" t="n">
        <v>202503</v>
      </c>
      <c r="C220" s="4" t="n">
        <v>16063</v>
      </c>
      <c r="D220" s="4" t="n">
        <v>15021.65</v>
      </c>
      <c r="E220" s="4">
        <f>C220-D220</f>
        <v/>
      </c>
      <c r="F220" s="5">
        <f>IFERROR(E220/D220,0)</f>
        <v/>
      </c>
    </row>
    <row r="221">
      <c r="A221" t="inlineStr">
        <is>
          <t>CC019</t>
        </is>
      </c>
      <c r="B221" t="n">
        <v>202504</v>
      </c>
      <c r="C221" s="4" t="n">
        <v>16525.77</v>
      </c>
      <c r="D221" s="4" t="n">
        <v>15140.87</v>
      </c>
      <c r="E221" s="4">
        <f>C221-D221</f>
        <v/>
      </c>
      <c r="F221" s="5">
        <f>IFERROR(E221/D221,0)</f>
        <v/>
      </c>
    </row>
    <row r="222">
      <c r="A222" t="inlineStr">
        <is>
          <t>CC019</t>
        </is>
      </c>
      <c r="B222" t="n">
        <v>202505</v>
      </c>
      <c r="C222" s="4" t="n">
        <v>17696.8</v>
      </c>
      <c r="D222" s="4" t="n">
        <v>15260.09</v>
      </c>
      <c r="E222" s="4">
        <f>C222-D222</f>
        <v/>
      </c>
      <c r="F222" s="5">
        <f>IFERROR(E222/D222,0)</f>
        <v/>
      </c>
    </row>
    <row r="223">
      <c r="A223" t="inlineStr">
        <is>
          <t>CC019</t>
        </is>
      </c>
      <c r="B223" t="n">
        <v>202506</v>
      </c>
      <c r="C223" s="4" t="n">
        <v>17347.44</v>
      </c>
      <c r="D223" s="4" t="n">
        <v>15379.31</v>
      </c>
      <c r="E223" s="4">
        <f>C223-D223</f>
        <v/>
      </c>
      <c r="F223" s="5">
        <f>IFERROR(E223/D223,0)</f>
        <v/>
      </c>
    </row>
    <row r="224">
      <c r="A224" t="inlineStr">
        <is>
          <t>CC019</t>
        </is>
      </c>
      <c r="B224" t="n">
        <v>202507</v>
      </c>
      <c r="C224" s="4" t="n">
        <v>17503.69</v>
      </c>
      <c r="D224" s="4" t="n">
        <v>15498.52</v>
      </c>
      <c r="E224" s="4">
        <f>C224-D224</f>
        <v/>
      </c>
      <c r="F224" s="5">
        <f>IFERROR(E224/D224,0)</f>
        <v/>
      </c>
    </row>
    <row r="225">
      <c r="A225" t="inlineStr">
        <is>
          <t>CC019</t>
        </is>
      </c>
      <c r="B225" t="n">
        <v>202508</v>
      </c>
      <c r="C225" s="4" t="n">
        <v>17271.28</v>
      </c>
      <c r="D225" s="4" t="n">
        <v>15617.74</v>
      </c>
      <c r="E225" s="4">
        <f>C225-D225</f>
        <v/>
      </c>
      <c r="F225" s="5">
        <f>IFERROR(E225/D225,0)</f>
        <v/>
      </c>
    </row>
    <row r="226">
      <c r="A226" t="inlineStr">
        <is>
          <t>CC019</t>
        </is>
      </c>
      <c r="B226" t="n">
        <v>202509</v>
      </c>
      <c r="C226" s="4" t="n">
        <v>17272.29</v>
      </c>
      <c r="D226" s="4" t="n">
        <v>15736.96</v>
      </c>
      <c r="E226" s="4">
        <f>C226-D226</f>
        <v/>
      </c>
      <c r="F226" s="5">
        <f>IFERROR(E226/D226,0)</f>
        <v/>
      </c>
    </row>
    <row r="227">
      <c r="A227" t="inlineStr">
        <is>
          <t>CC019</t>
        </is>
      </c>
      <c r="B227" t="n">
        <v>202510</v>
      </c>
      <c r="C227" s="4" t="n">
        <v>17877.88</v>
      </c>
      <c r="D227" s="4" t="n">
        <v>15856.18</v>
      </c>
      <c r="E227" s="4">
        <f>C227-D227</f>
        <v/>
      </c>
      <c r="F227" s="5">
        <f>IFERROR(E227/D227,0)</f>
        <v/>
      </c>
    </row>
    <row r="228">
      <c r="A228" t="inlineStr">
        <is>
          <t>CC019</t>
        </is>
      </c>
      <c r="B228" t="n">
        <v>202511</v>
      </c>
      <c r="C228" s="4" t="n">
        <v>20690.74</v>
      </c>
      <c r="D228" s="4" t="n">
        <v>17572.94</v>
      </c>
      <c r="E228" s="4">
        <f>C228-D228</f>
        <v/>
      </c>
      <c r="F228" s="5">
        <f>IFERROR(E228/D228,0)</f>
        <v/>
      </c>
    </row>
    <row r="229">
      <c r="A229" t="inlineStr">
        <is>
          <t>CC019</t>
        </is>
      </c>
      <c r="B229" t="n">
        <v>202512</v>
      </c>
      <c r="C229" s="4" t="n">
        <v>20995.49</v>
      </c>
      <c r="D229" s="4" t="n">
        <v>17704.08</v>
      </c>
      <c r="E229" s="4">
        <f>C229-D229</f>
        <v/>
      </c>
      <c r="F229" s="5">
        <f>IFERROR(E229/D229,0)</f>
        <v/>
      </c>
    </row>
    <row r="230">
      <c r="A230" t="inlineStr">
        <is>
          <t>CC020</t>
        </is>
      </c>
      <c r="B230" t="n">
        <v>202501</v>
      </c>
      <c r="C230" s="4" t="n">
        <v>16790.92</v>
      </c>
      <c r="D230" s="4" t="n">
        <v>17910.26</v>
      </c>
      <c r="E230" s="4">
        <f>C230-D230</f>
        <v/>
      </c>
      <c r="F230" s="5">
        <f>IFERROR(E230/D230,0)</f>
        <v/>
      </c>
    </row>
    <row r="231">
      <c r="A231" t="inlineStr">
        <is>
          <t>CC020</t>
        </is>
      </c>
      <c r="B231" t="n">
        <v>202502</v>
      </c>
      <c r="C231" s="4" t="n">
        <v>18741.69</v>
      </c>
      <c r="D231" s="4" t="n">
        <v>18054.69</v>
      </c>
      <c r="E231" s="4">
        <f>C231-D231</f>
        <v/>
      </c>
      <c r="F231" s="5">
        <f>IFERROR(E231/D231,0)</f>
        <v/>
      </c>
    </row>
    <row r="232">
      <c r="A232" t="inlineStr">
        <is>
          <t>CC020</t>
        </is>
      </c>
      <c r="B232" t="n">
        <v>202503</v>
      </c>
      <c r="C232" s="4" t="n">
        <v>17746.7</v>
      </c>
      <c r="D232" s="4" t="n">
        <v>18199.13</v>
      </c>
      <c r="E232" s="4">
        <f>C232-D232</f>
        <v/>
      </c>
      <c r="F232" s="5">
        <f>IFERROR(E232/D232,0)</f>
        <v/>
      </c>
    </row>
    <row r="233">
      <c r="A233" t="inlineStr">
        <is>
          <t>CC020</t>
        </is>
      </c>
      <c r="B233" t="n">
        <v>202504</v>
      </c>
      <c r="C233" s="4" t="n">
        <v>17579.12</v>
      </c>
      <c r="D233" s="4" t="n">
        <v>18343.57</v>
      </c>
      <c r="E233" s="4">
        <f>C233-D233</f>
        <v/>
      </c>
      <c r="F233" s="5">
        <f>IFERROR(E233/D233,0)</f>
        <v/>
      </c>
    </row>
    <row r="234">
      <c r="A234" t="inlineStr">
        <is>
          <t>CC020</t>
        </is>
      </c>
      <c r="B234" t="n">
        <v>202505</v>
      </c>
      <c r="C234" s="4" t="n">
        <v>18798.14</v>
      </c>
      <c r="D234" s="4" t="n">
        <v>18488.01</v>
      </c>
      <c r="E234" s="4">
        <f>C234-D234</f>
        <v/>
      </c>
      <c r="F234" s="5">
        <f>IFERROR(E234/D234,0)</f>
        <v/>
      </c>
    </row>
    <row r="235">
      <c r="A235" t="inlineStr">
        <is>
          <t>CC020</t>
        </is>
      </c>
      <c r="B235" t="n">
        <v>202506</v>
      </c>
      <c r="C235" s="4" t="n">
        <v>18067.77</v>
      </c>
      <c r="D235" s="4" t="n">
        <v>18632.44</v>
      </c>
      <c r="E235" s="4">
        <f>C235-D235</f>
        <v/>
      </c>
      <c r="F235" s="5">
        <f>IFERROR(E235/D235,0)</f>
        <v/>
      </c>
    </row>
    <row r="236">
      <c r="A236" t="inlineStr">
        <is>
          <t>CC020</t>
        </is>
      </c>
      <c r="B236" t="n">
        <v>202507</v>
      </c>
      <c r="C236" s="4" t="n">
        <v>18030.95</v>
      </c>
      <c r="D236" s="4" t="n">
        <v>18776.88</v>
      </c>
      <c r="E236" s="4">
        <f>C236-D236</f>
        <v/>
      </c>
      <c r="F236" s="5">
        <f>IFERROR(E236/D236,0)</f>
        <v/>
      </c>
    </row>
    <row r="237">
      <c r="A237" t="inlineStr">
        <is>
          <t>CC020</t>
        </is>
      </c>
      <c r="B237" t="n">
        <v>202508</v>
      </c>
      <c r="C237" s="4" t="n">
        <v>19116.16</v>
      </c>
      <c r="D237" s="4" t="n">
        <v>18921.32</v>
      </c>
      <c r="E237" s="4">
        <f>C237-D237</f>
        <v/>
      </c>
      <c r="F237" s="5">
        <f>IFERROR(E237/D237,0)</f>
        <v/>
      </c>
    </row>
    <row r="238">
      <c r="A238" t="inlineStr">
        <is>
          <t>CC020</t>
        </is>
      </c>
      <c r="B238" t="n">
        <v>202509</v>
      </c>
      <c r="C238" s="4" t="n">
        <v>19487</v>
      </c>
      <c r="D238" s="4" t="n">
        <v>19065.76</v>
      </c>
      <c r="E238" s="4">
        <f>C238-D238</f>
        <v/>
      </c>
      <c r="F238" s="5">
        <f>IFERROR(E238/D238,0)</f>
        <v/>
      </c>
    </row>
    <row r="239">
      <c r="A239" t="inlineStr">
        <is>
          <t>CC020</t>
        </is>
      </c>
      <c r="B239" t="n">
        <v>202510</v>
      </c>
      <c r="C239" s="4" t="n">
        <v>20099.39</v>
      </c>
      <c r="D239" s="4" t="n">
        <v>19210.19</v>
      </c>
      <c r="E239" s="4">
        <f>C239-D239</f>
        <v/>
      </c>
      <c r="F239" s="5">
        <f>IFERROR(E239/D239,0)</f>
        <v/>
      </c>
    </row>
    <row r="240">
      <c r="A240" t="inlineStr">
        <is>
          <t>CC020</t>
        </is>
      </c>
      <c r="B240" t="n">
        <v>202511</v>
      </c>
      <c r="C240" s="4" t="n">
        <v>22488.24</v>
      </c>
      <c r="D240" s="4" t="n">
        <v>21290.09</v>
      </c>
      <c r="E240" s="4">
        <f>C240-D240</f>
        <v/>
      </c>
      <c r="F240" s="5">
        <f>IFERROR(E240/D240,0)</f>
        <v/>
      </c>
    </row>
    <row r="241">
      <c r="A241" t="inlineStr">
        <is>
          <t>CC020</t>
        </is>
      </c>
      <c r="B241" t="n">
        <v>202512</v>
      </c>
      <c r="C241" s="4" t="n">
        <v>22282.71</v>
      </c>
      <c r="D241" s="4" t="n">
        <v>21448.98</v>
      </c>
      <c r="E241" s="4">
        <f>C241-D241</f>
        <v/>
      </c>
      <c r="F241" s="5">
        <f>IFERROR(E241/D241,0)</f>
        <v/>
      </c>
    </row>
  </sheetData>
  <conditionalFormatting sqref="F2:F241">
    <cfRule type="cellIs" priority="1" operator="greaterThan" dxfId="0">
      <formula>0.1</formula>
    </cfRule>
    <cfRule type="cellIs" priority="2" operator="lessThan" dxfId="1">
      <formula>-0.1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Period</t>
        </is>
      </c>
      <c r="B1" s="7" t="inlineStr">
        <is>
          <t>Revenue</t>
        </is>
      </c>
      <c r="C1" s="7" t="inlineStr">
        <is>
          <t>COGS</t>
        </is>
      </c>
      <c r="D1" s="7" t="inlineStr">
        <is>
          <t>Opex</t>
        </is>
      </c>
      <c r="E1" s="7" t="inlineStr">
        <is>
          <t>Gross profit</t>
        </is>
      </c>
      <c r="F1" s="7" t="inlineStr">
        <is>
          <t>EBIT</t>
        </is>
      </c>
      <c r="G1" s="7" t="inlineStr">
        <is>
          <t>Gross margin %</t>
        </is>
      </c>
    </row>
    <row r="2">
      <c r="A2" t="n">
        <v>202301</v>
      </c>
      <c r="B2" s="4" t="n">
        <v>568279.76</v>
      </c>
      <c r="C2" s="4" t="n">
        <v>391446.8</v>
      </c>
      <c r="D2" s="4" t="n">
        <v>215598.59</v>
      </c>
      <c r="E2" s="4">
        <f>B2-C2</f>
        <v/>
      </c>
      <c r="F2" s="4">
        <f>E2-D2</f>
        <v/>
      </c>
      <c r="G2" s="5">
        <f>IFERROR(E2/B2,0)</f>
        <v/>
      </c>
    </row>
    <row r="3">
      <c r="A3" t="n">
        <v>202302</v>
      </c>
      <c r="B3" s="4" t="n">
        <v>711260.26</v>
      </c>
      <c r="C3" s="4" t="n">
        <v>496958.14</v>
      </c>
      <c r="D3" s="4" t="n">
        <v>217951.83</v>
      </c>
      <c r="E3" s="4">
        <f>B3-C3</f>
        <v/>
      </c>
      <c r="F3" s="4">
        <f>E3-D3</f>
        <v/>
      </c>
      <c r="G3" s="5">
        <f>IFERROR(E3/B3,0)</f>
        <v/>
      </c>
    </row>
    <row r="4">
      <c r="A4" t="n">
        <v>202303</v>
      </c>
      <c r="B4" s="4" t="n">
        <v>831709.73</v>
      </c>
      <c r="C4" s="4" t="n">
        <v>563369.6</v>
      </c>
      <c r="D4" s="4" t="n">
        <v>222426.14</v>
      </c>
      <c r="E4" s="4">
        <f>B4-C4</f>
        <v/>
      </c>
      <c r="F4" s="4">
        <f>E4-D4</f>
        <v/>
      </c>
      <c r="G4" s="5">
        <f>IFERROR(E4/B4,0)</f>
        <v/>
      </c>
    </row>
    <row r="5">
      <c r="A5" t="n">
        <v>202304</v>
      </c>
      <c r="B5" s="4" t="n">
        <v>982342.6899999999</v>
      </c>
      <c r="C5" s="4" t="n">
        <v>621444.74</v>
      </c>
      <c r="D5" s="4" t="n">
        <v>222351.12</v>
      </c>
      <c r="E5" s="4">
        <f>B5-C5</f>
        <v/>
      </c>
      <c r="F5" s="4">
        <f>E5-D5</f>
        <v/>
      </c>
      <c r="G5" s="5">
        <f>IFERROR(E5/B5,0)</f>
        <v/>
      </c>
    </row>
    <row r="6">
      <c r="A6" t="n">
        <v>202305</v>
      </c>
      <c r="B6" s="4" t="n">
        <v>841220.39</v>
      </c>
      <c r="C6" s="4" t="n">
        <v>584711.3199999999</v>
      </c>
      <c r="D6" s="4" t="n">
        <v>225674.27</v>
      </c>
      <c r="E6" s="4">
        <f>B6-C6</f>
        <v/>
      </c>
      <c r="F6" s="4">
        <f>E6-D6</f>
        <v/>
      </c>
      <c r="G6" s="5">
        <f>IFERROR(E6/B6,0)</f>
        <v/>
      </c>
    </row>
    <row r="7">
      <c r="A7" t="n">
        <v>202306</v>
      </c>
      <c r="B7" s="4" t="n">
        <v>1018895.85</v>
      </c>
      <c r="C7" s="4" t="n">
        <v>601424.1</v>
      </c>
      <c r="D7" s="4" t="n">
        <v>228302.79</v>
      </c>
      <c r="E7" s="4">
        <f>B7-C7</f>
        <v/>
      </c>
      <c r="F7" s="4">
        <f>E7-D7</f>
        <v/>
      </c>
      <c r="G7" s="5">
        <f>IFERROR(E7/B7,0)</f>
        <v/>
      </c>
    </row>
    <row r="8">
      <c r="A8" t="n">
        <v>202307</v>
      </c>
      <c r="B8" s="4" t="n">
        <v>795467.92</v>
      </c>
      <c r="C8" s="4" t="n">
        <v>524761.72</v>
      </c>
      <c r="D8" s="4" t="n">
        <v>234817.79</v>
      </c>
      <c r="E8" s="4">
        <f>B8-C8</f>
        <v/>
      </c>
      <c r="F8" s="4">
        <f>E8-D8</f>
        <v/>
      </c>
      <c r="G8" s="5">
        <f>IFERROR(E8/B8,0)</f>
        <v/>
      </c>
    </row>
    <row r="9">
      <c r="A9" t="n">
        <v>202308</v>
      </c>
      <c r="B9" s="4" t="n">
        <v>770745.75</v>
      </c>
      <c r="C9" s="4" t="n">
        <v>529382.83</v>
      </c>
      <c r="D9" s="4" t="n">
        <v>233642.52</v>
      </c>
      <c r="E9" s="4">
        <f>B9-C9</f>
        <v/>
      </c>
      <c r="F9" s="4">
        <f>E9-D9</f>
        <v/>
      </c>
      <c r="G9" s="5">
        <f>IFERROR(E9/B9,0)</f>
        <v/>
      </c>
    </row>
    <row r="10">
      <c r="A10" t="n">
        <v>202309</v>
      </c>
      <c r="B10" s="4" t="n">
        <v>888297.11</v>
      </c>
      <c r="C10" s="4" t="n">
        <v>580392.8100000001</v>
      </c>
      <c r="D10" s="4" t="n">
        <v>237923.67</v>
      </c>
      <c r="E10" s="4">
        <f>B10-C10</f>
        <v/>
      </c>
      <c r="F10" s="4">
        <f>E10-D10</f>
        <v/>
      </c>
      <c r="G10" s="5">
        <f>IFERROR(E10/B10,0)</f>
        <v/>
      </c>
    </row>
    <row r="11">
      <c r="A11" t="n">
        <v>202310</v>
      </c>
      <c r="B11" s="4" t="n">
        <v>994258.5</v>
      </c>
      <c r="C11" s="4" t="n">
        <v>673812.52</v>
      </c>
      <c r="D11" s="4" t="n">
        <v>241376.42</v>
      </c>
      <c r="E11" s="4">
        <f>B11-C11</f>
        <v/>
      </c>
      <c r="F11" s="4">
        <f>E11-D11</f>
        <v/>
      </c>
      <c r="G11" s="5">
        <f>IFERROR(E11/B11,0)</f>
        <v/>
      </c>
    </row>
    <row r="12">
      <c r="A12" t="n">
        <v>202311</v>
      </c>
      <c r="B12" s="4" t="n">
        <v>1155205.3</v>
      </c>
      <c r="C12" s="4" t="n">
        <v>741051.9399999999</v>
      </c>
      <c r="D12" s="4" t="n">
        <v>267081.19</v>
      </c>
      <c r="E12" s="4">
        <f>B12-C12</f>
        <v/>
      </c>
      <c r="F12" s="4">
        <f>E12-D12</f>
        <v/>
      </c>
      <c r="G12" s="5">
        <f>IFERROR(E12/B12,0)</f>
        <v/>
      </c>
    </row>
    <row r="13">
      <c r="A13" t="n">
        <v>202312</v>
      </c>
      <c r="B13" s="4" t="n">
        <v>1134576.92</v>
      </c>
      <c r="C13" s="4" t="n">
        <v>758737.96</v>
      </c>
      <c r="D13" s="4" t="n">
        <v>266435.78</v>
      </c>
      <c r="E13" s="4">
        <f>B13-C13</f>
        <v/>
      </c>
      <c r="F13" s="4">
        <f>E13-D13</f>
        <v/>
      </c>
      <c r="G13" s="5">
        <f>IFERROR(E13/B13,0)</f>
        <v/>
      </c>
    </row>
    <row r="14">
      <c r="A14" t="n">
        <v>202401</v>
      </c>
      <c r="B14" s="4" t="n">
        <v>974987.85</v>
      </c>
      <c r="C14" s="4" t="n">
        <v>632336.64</v>
      </c>
      <c r="D14" s="4" t="n">
        <v>246396.94</v>
      </c>
      <c r="E14" s="4">
        <f>B14-C14</f>
        <v/>
      </c>
      <c r="F14" s="4">
        <f>E14-D14</f>
        <v/>
      </c>
      <c r="G14" s="5">
        <f>IFERROR(E14/B14,0)</f>
        <v/>
      </c>
    </row>
    <row r="15">
      <c r="A15" t="n">
        <v>202402</v>
      </c>
      <c r="B15" s="4" t="n">
        <v>757543.91</v>
      </c>
      <c r="C15" s="4" t="n">
        <v>531177.15</v>
      </c>
      <c r="D15" s="4" t="n">
        <v>250526.78</v>
      </c>
      <c r="E15" s="4">
        <f>B15-C15</f>
        <v/>
      </c>
      <c r="F15" s="4">
        <f>E15-D15</f>
        <v/>
      </c>
      <c r="G15" s="5">
        <f>IFERROR(E15/B15,0)</f>
        <v/>
      </c>
    </row>
    <row r="16">
      <c r="A16" t="n">
        <v>202403</v>
      </c>
      <c r="B16" s="4" t="n">
        <v>1001264.28</v>
      </c>
      <c r="C16" s="4" t="n">
        <v>655490.61</v>
      </c>
      <c r="D16" s="4" t="n">
        <v>249122.49</v>
      </c>
      <c r="E16" s="4">
        <f>B16-C16</f>
        <v/>
      </c>
      <c r="F16" s="4">
        <f>E16-D16</f>
        <v/>
      </c>
      <c r="G16" s="5">
        <f>IFERROR(E16/B16,0)</f>
        <v/>
      </c>
    </row>
    <row r="17">
      <c r="A17" t="n">
        <v>202404</v>
      </c>
      <c r="B17" s="4" t="n">
        <v>919519.73</v>
      </c>
      <c r="C17" s="4" t="n">
        <v>601181.5699999999</v>
      </c>
      <c r="D17" s="4" t="n">
        <v>251759.16</v>
      </c>
      <c r="E17" s="4">
        <f>B17-C17</f>
        <v/>
      </c>
      <c r="F17" s="4">
        <f>E17-D17</f>
        <v/>
      </c>
      <c r="G17" s="5">
        <f>IFERROR(E17/B17,0)</f>
        <v/>
      </c>
    </row>
    <row r="18">
      <c r="A18" t="n">
        <v>202405</v>
      </c>
      <c r="B18" s="4" t="n">
        <v>1051200.69</v>
      </c>
      <c r="C18" s="4" t="n">
        <v>680712</v>
      </c>
      <c r="D18" s="4" t="n">
        <v>256143.75</v>
      </c>
      <c r="E18" s="4">
        <f>B18-C18</f>
        <v/>
      </c>
      <c r="F18" s="4">
        <f>E18-D18</f>
        <v/>
      </c>
      <c r="G18" s="5">
        <f>IFERROR(E18/B18,0)</f>
        <v/>
      </c>
    </row>
    <row r="19">
      <c r="A19" t="n">
        <v>202406</v>
      </c>
      <c r="B19" s="4" t="n">
        <v>935627.0600000001</v>
      </c>
      <c r="C19" s="4" t="n">
        <v>624631.09</v>
      </c>
      <c r="D19" s="4" t="n">
        <v>256335.85</v>
      </c>
      <c r="E19" s="4">
        <f>B19-C19</f>
        <v/>
      </c>
      <c r="F19" s="4">
        <f>E19-D19</f>
        <v/>
      </c>
      <c r="G19" s="5">
        <f>IFERROR(E19/B19,0)</f>
        <v/>
      </c>
    </row>
    <row r="20">
      <c r="A20" t="n">
        <v>202407</v>
      </c>
      <c r="B20" s="4" t="n">
        <v>860109.12</v>
      </c>
      <c r="C20" s="4" t="n">
        <v>577894.46</v>
      </c>
      <c r="D20" s="4" t="n">
        <v>261290.23</v>
      </c>
      <c r="E20" s="4">
        <f>B20-C20</f>
        <v/>
      </c>
      <c r="F20" s="4">
        <f>E20-D20</f>
        <v/>
      </c>
      <c r="G20" s="5">
        <f>IFERROR(E20/B20,0)</f>
        <v/>
      </c>
    </row>
    <row r="21">
      <c r="A21" t="n">
        <v>202408</v>
      </c>
      <c r="B21" s="4" t="n">
        <v>849990.76</v>
      </c>
      <c r="C21" s="4" t="n">
        <v>557254.65</v>
      </c>
      <c r="D21" s="4" t="n">
        <v>263081.23</v>
      </c>
      <c r="E21" s="4">
        <f>B21-C21</f>
        <v/>
      </c>
      <c r="F21" s="4">
        <f>E21-D21</f>
        <v/>
      </c>
      <c r="G21" s="5">
        <f>IFERROR(E21/B21,0)</f>
        <v/>
      </c>
    </row>
    <row r="22">
      <c r="A22" t="n">
        <v>202409</v>
      </c>
      <c r="B22" s="4" t="n">
        <v>1036275.56</v>
      </c>
      <c r="C22" s="4" t="n">
        <v>711612.53</v>
      </c>
      <c r="D22" s="4" t="n">
        <v>267025.91</v>
      </c>
      <c r="E22" s="4">
        <f>B22-C22</f>
        <v/>
      </c>
      <c r="F22" s="4">
        <f>E22-D22</f>
        <v/>
      </c>
      <c r="G22" s="5">
        <f>IFERROR(E22/B22,0)</f>
        <v/>
      </c>
    </row>
    <row r="23">
      <c r="A23" t="n">
        <v>202410</v>
      </c>
      <c r="B23" s="4" t="n">
        <v>1165939.11</v>
      </c>
      <c r="C23" s="4" t="n">
        <v>748340.41</v>
      </c>
      <c r="D23" s="4" t="n">
        <v>268164.7</v>
      </c>
      <c r="E23" s="4">
        <f>B23-C23</f>
        <v/>
      </c>
      <c r="F23" s="4">
        <f>E23-D23</f>
        <v/>
      </c>
      <c r="G23" s="5">
        <f>IFERROR(E23/B23,0)</f>
        <v/>
      </c>
    </row>
    <row r="24">
      <c r="A24" t="n">
        <v>202411</v>
      </c>
      <c r="B24" s="4" t="n">
        <v>1197707.27</v>
      </c>
      <c r="C24" s="4" t="n">
        <v>823067.8</v>
      </c>
      <c r="D24" s="4" t="n">
        <v>295728.67</v>
      </c>
      <c r="E24" s="4">
        <f>B24-C24</f>
        <v/>
      </c>
      <c r="F24" s="4">
        <f>E24-D24</f>
        <v/>
      </c>
      <c r="G24" s="5">
        <f>IFERROR(E24/B24,0)</f>
        <v/>
      </c>
    </row>
    <row r="25">
      <c r="A25" t="n">
        <v>202412</v>
      </c>
      <c r="B25" s="4" t="n">
        <v>1317458.84</v>
      </c>
      <c r="C25" s="4" t="n">
        <v>893098.17</v>
      </c>
      <c r="D25" s="4" t="n">
        <v>302088.46</v>
      </c>
      <c r="E25" s="4">
        <f>B25-C25</f>
        <v/>
      </c>
      <c r="F25" s="4">
        <f>E25-D25</f>
        <v/>
      </c>
      <c r="G25" s="5">
        <f>IFERROR(E25/B25,0)</f>
        <v/>
      </c>
    </row>
    <row r="26">
      <c r="A26" t="n">
        <v>202501</v>
      </c>
      <c r="B26" s="4" t="n">
        <v>1070018.83</v>
      </c>
      <c r="C26" s="4" t="n">
        <v>688769.8</v>
      </c>
      <c r="D26" s="4" t="n">
        <v>274761.68</v>
      </c>
      <c r="E26" s="4">
        <f>B26-C26</f>
        <v/>
      </c>
      <c r="F26" s="4">
        <f>E26-D26</f>
        <v/>
      </c>
      <c r="G26" s="5">
        <f>IFERROR(E26/B26,0)</f>
        <v/>
      </c>
    </row>
    <row r="27">
      <c r="A27" t="n">
        <v>202502</v>
      </c>
      <c r="B27" s="4" t="n">
        <v>893632.12</v>
      </c>
      <c r="C27" s="4" t="n">
        <v>562924.45</v>
      </c>
      <c r="D27" s="4" t="n">
        <v>281426.81</v>
      </c>
      <c r="E27" s="4">
        <f>B27-C27</f>
        <v/>
      </c>
      <c r="F27" s="4">
        <f>E27-D27</f>
        <v/>
      </c>
      <c r="G27" s="5">
        <f>IFERROR(E27/B27,0)</f>
        <v/>
      </c>
    </row>
    <row r="28">
      <c r="A28" t="n">
        <v>202503</v>
      </c>
      <c r="B28" s="4" t="n">
        <v>1017561.42</v>
      </c>
      <c r="C28" s="4" t="n">
        <v>690145.26</v>
      </c>
      <c r="D28" s="4" t="n">
        <v>275667.57</v>
      </c>
      <c r="E28" s="4">
        <f>B28-C28</f>
        <v/>
      </c>
      <c r="F28" s="4">
        <f>E28-D28</f>
        <v/>
      </c>
      <c r="G28" s="5">
        <f>IFERROR(E28/B28,0)</f>
        <v/>
      </c>
    </row>
    <row r="29">
      <c r="A29" t="n">
        <v>202504</v>
      </c>
      <c r="B29" s="4" t="n">
        <v>989872.1800000001</v>
      </c>
      <c r="C29" s="4" t="n">
        <v>646553.8199999999</v>
      </c>
      <c r="D29" s="4" t="n">
        <v>283707.66</v>
      </c>
      <c r="E29" s="4">
        <f>B29-C29</f>
        <v/>
      </c>
      <c r="F29" s="4">
        <f>E29-D29</f>
        <v/>
      </c>
      <c r="G29" s="5">
        <f>IFERROR(E29/B29,0)</f>
        <v/>
      </c>
    </row>
    <row r="30">
      <c r="A30" t="n">
        <v>202505</v>
      </c>
      <c r="B30" s="4" t="n">
        <v>973159.52</v>
      </c>
      <c r="C30" s="4" t="n">
        <v>654653.86</v>
      </c>
      <c r="D30" s="4" t="n">
        <v>286678.28</v>
      </c>
      <c r="E30" s="4">
        <f>B30-C30</f>
        <v/>
      </c>
      <c r="F30" s="4">
        <f>E30-D30</f>
        <v/>
      </c>
      <c r="G30" s="5">
        <f>IFERROR(E30/B30,0)</f>
        <v/>
      </c>
    </row>
    <row r="31">
      <c r="A31" t="n">
        <v>202506</v>
      </c>
      <c r="B31" s="4" t="n">
        <v>1006345.9</v>
      </c>
      <c r="C31" s="4" t="n">
        <v>706586.58</v>
      </c>
      <c r="D31" s="4" t="n">
        <v>291139.63</v>
      </c>
      <c r="E31" s="4">
        <f>B31-C31</f>
        <v/>
      </c>
      <c r="F31" s="4">
        <f>E31-D31</f>
        <v/>
      </c>
      <c r="G31" s="5">
        <f>IFERROR(E31/B31,0)</f>
        <v/>
      </c>
    </row>
    <row r="32">
      <c r="A32" t="n">
        <v>202507</v>
      </c>
      <c r="B32" s="4" t="n">
        <v>999473.23</v>
      </c>
      <c r="C32" s="4" t="n">
        <v>655546.59</v>
      </c>
      <c r="D32" s="4" t="n">
        <v>295007.79</v>
      </c>
      <c r="E32" s="4">
        <f>B32-C32</f>
        <v/>
      </c>
      <c r="F32" s="4">
        <f>E32-D32</f>
        <v/>
      </c>
      <c r="G32" s="5">
        <f>IFERROR(E32/B32,0)</f>
        <v/>
      </c>
    </row>
    <row r="33">
      <c r="A33" t="n">
        <v>202508</v>
      </c>
      <c r="B33" s="4" t="n">
        <v>908374.2</v>
      </c>
      <c r="C33" s="4" t="n">
        <v>591213.9399999999</v>
      </c>
      <c r="D33" s="4" t="n">
        <v>296043.08</v>
      </c>
      <c r="E33" s="4">
        <f>B33-C33</f>
        <v/>
      </c>
      <c r="F33" s="4">
        <f>E33-D33</f>
        <v/>
      </c>
      <c r="G33" s="5">
        <f>IFERROR(E33/B33,0)</f>
        <v/>
      </c>
    </row>
    <row r="34">
      <c r="A34" t="n">
        <v>202509</v>
      </c>
      <c r="B34" s="4" t="n">
        <v>1130464.8</v>
      </c>
      <c r="C34" s="4" t="n">
        <v>736322.91</v>
      </c>
      <c r="D34" s="4" t="n">
        <v>295384.91</v>
      </c>
      <c r="E34" s="4">
        <f>B34-C34</f>
        <v/>
      </c>
      <c r="F34" s="4">
        <f>E34-D34</f>
        <v/>
      </c>
      <c r="G34" s="5">
        <f>IFERROR(E34/B34,0)</f>
        <v/>
      </c>
    </row>
    <row r="35">
      <c r="A35" t="n">
        <v>202510</v>
      </c>
      <c r="B35" s="4" t="n">
        <v>1237588.13</v>
      </c>
      <c r="C35" s="4" t="n">
        <v>818496.8</v>
      </c>
      <c r="D35" s="4" t="n">
        <v>299348.35</v>
      </c>
      <c r="E35" s="4">
        <f>B35-C35</f>
        <v/>
      </c>
      <c r="F35" s="4">
        <f>E35-D35</f>
        <v/>
      </c>
      <c r="G35" s="5">
        <f>IFERROR(E35/B35,0)</f>
        <v/>
      </c>
    </row>
    <row r="36">
      <c r="A36" t="n">
        <v>202511</v>
      </c>
      <c r="B36" s="4" t="n">
        <v>1327074.51</v>
      </c>
      <c r="C36" s="4" t="n">
        <v>860004.5699999999</v>
      </c>
      <c r="D36" s="4" t="n">
        <v>337783.35</v>
      </c>
      <c r="E36" s="4">
        <f>B36-C36</f>
        <v/>
      </c>
      <c r="F36" s="4">
        <f>E36-D36</f>
        <v/>
      </c>
      <c r="G36" s="5">
        <f>IFERROR(E36/B36,0)</f>
        <v/>
      </c>
    </row>
    <row r="37">
      <c r="A37" t="n">
        <v>202512</v>
      </c>
      <c r="B37" s="4" t="n">
        <v>1341273.07</v>
      </c>
      <c r="C37" s="4" t="n">
        <v>894344.05</v>
      </c>
      <c r="D37" s="4" t="n">
        <v>339905.74</v>
      </c>
      <c r="E37" s="4">
        <f>B37-C37</f>
        <v/>
      </c>
      <c r="F37" s="4">
        <f>E37-D37</f>
        <v/>
      </c>
      <c r="G37" s="5">
        <f>IFERROR(E37/B37,0)</f>
        <v/>
      </c>
    </row>
  </sheetData>
  <conditionalFormatting sqref="F2:F37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2026-10-26T11:17:11Z</dcterms:created>
  <dcterms:modified xmlns:dcterms="http://purl.org/dc/terms/" xmlns:xsi="http://www.w3.org/2001/XMLSchema-instance" xsi:type="dcterms:W3CDTF">2026-10-26T11:17:11Z</dcterms:modified>
</cp:coreProperties>
</file>